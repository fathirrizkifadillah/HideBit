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_Proyek" sheetId="1" state="visible" r:id="rId1"/>
    <sheet xmlns:r="http://schemas.openxmlformats.org/officeDocument/2006/relationships" name="PSNR_MSE" sheetId="2" state="visible" r:id="rId2"/>
    <sheet xmlns:r="http://schemas.openxmlformats.org/officeDocument/2006/relationships" name="Sensitivitas_Key" sheetId="3" state="visible" r:id="rId3"/>
    <sheet xmlns:r="http://schemas.openxmlformats.org/officeDocument/2006/relationships" name="JPEG_Fragility" sheetId="4" state="visible" r:id="rId4"/>
    <sheet xmlns:r="http://schemas.openxmlformats.org/officeDocument/2006/relationships" name="Steganalisis" sheetId="5" state="visible" r:id="rId5"/>
    <sheet xmlns:r="http://schemas.openxmlformats.org/officeDocument/2006/relationships" name="Histogram" sheetId="6" state="visible" r:id="rId6"/>
    <sheet xmlns:r="http://schemas.openxmlformats.org/officeDocument/2006/relationships" name="Kapasitas" sheetId="7" state="visible" r:id="rId7"/>
    <sheet xmlns:r="http://schemas.openxmlformats.org/officeDocument/2006/relationships" name="Pengayaan_Dokumen" sheetId="8" state="visible" r:id="rId8"/>
    <sheet xmlns:r="http://schemas.openxmlformats.org/officeDocument/2006/relationships" name="Unit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0000"/>
    <numFmt numFmtId="166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0" fillId="0" borderId="1" pivotButton="0" quotePrefix="0" xfId="0"/>
    <xf numFmtId="165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2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LAPORAN DATA PENGUJIAN APLIKASI HIDEBIT (STEGANOGRAFI LSB-PRNG)</t>
        </is>
      </c>
    </row>
    <row r="2">
      <c r="A2" s="2" t="inlineStr">
        <is>
          <t>Mata Kuliah: Keamanan Informasi | Dosen Pengampu: Ir. Alam Rahmatulloh, S.T., M.T., MCE., IPM.</t>
        </is>
      </c>
    </row>
    <row r="4">
      <c r="A4" s="3" t="inlineStr">
        <is>
          <t>PARAMETER</t>
        </is>
      </c>
      <c r="B4" s="3" t="inlineStr">
        <is>
          <t>KETERANGAN DETAIL</t>
        </is>
      </c>
    </row>
    <row r="5" ht="24" customHeight="1">
      <c r="A5" s="4" t="inlineStr">
        <is>
          <t>Judul Proyek</t>
        </is>
      </c>
      <c r="B5" s="5" t="inlineStr">
        <is>
          <t>HideBit: Steganografi Citra Digital LSB-PRNG dengan Enkripsi AES-256-GCM</t>
        </is>
      </c>
    </row>
    <row r="6" ht="24" customHeight="1">
      <c r="A6" s="4" t="inlineStr">
        <is>
          <t>Topik</t>
        </is>
      </c>
      <c r="B6" s="5" t="inlineStr">
        <is>
          <t>Topik B (Aplikasi Steganografi Citra Digital)</t>
        </is>
      </c>
    </row>
    <row r="7" ht="24" customHeight="1">
      <c r="A7" s="4" t="inlineStr">
        <is>
          <t>Institusi</t>
        </is>
      </c>
      <c r="B7" s="5" t="inlineStr">
        <is>
          <t>Program Studi Informatika, Fakultas Teknik, Universitas Siliwangi (2026)</t>
        </is>
      </c>
    </row>
    <row r="8" ht="45" customHeight="1">
      <c r="A8" s="4" t="inlineStr">
        <is>
          <t>Anggota Kelompok</t>
        </is>
      </c>
      <c r="B8" s="5" t="inlineStr">
        <is>
          <t>1. Fathir Rizki Fadillah (247006111129)
2. Aria Muhammad Fahlevi (247006111131)
3. Moh Raya Alfareza Alban (247006111133)</t>
        </is>
      </c>
    </row>
    <row r="9" ht="24" customHeight="1">
      <c r="A9" s="4" t="inlineStr">
        <is>
          <t>Tautan Repositori GitHub</t>
        </is>
      </c>
      <c r="B9" s="5" t="inlineStr">
        <is>
          <t>https://github.com/fathirrizkifadillah/HideBit</t>
        </is>
      </c>
    </row>
    <row r="10" ht="24" customHeight="1">
      <c r="A10" s="4" t="inlineStr">
        <is>
          <t>Tautan Aplikasi Live</t>
        </is>
      </c>
      <c r="B10" s="5" t="inlineStr">
        <is>
          <t>https://hidebit.onrender.com</t>
        </is>
      </c>
    </row>
    <row r="11" ht="24" customHeight="1">
      <c r="A11" s="4" t="inlineStr">
        <is>
          <t>Tautan Video Demo</t>
        </is>
      </c>
      <c r="B11" s="5" t="inlineStr">
        <is>
          <t>(Menyusul / Tautan YouTube Unlisted)</t>
        </is>
      </c>
    </row>
    <row r="12" ht="24" customHeight="1">
      <c r="A12" s="4" t="inlineStr">
        <is>
          <t>Deskripsi Berkas</t>
        </is>
      </c>
      <c r="B12" s="5" t="inlineStr">
        <is>
          <t>Buku kerja XLSX ini memuat rekaman kuantitatif pengujian fidelitas visual (PSNR/MSE), sensitivitas kunci, uji kerapuhan JPEG, analisis forensik Chi-Square PoV &amp; Bit-0 plane, serta pengujian berkas dokumen biner.</t>
        </is>
      </c>
    </row>
    <row r="14">
      <c r="A14" s="6" t="inlineStr">
        <is>
          <t>DAFTAR SHEET</t>
        </is>
      </c>
      <c r="B14" s="6" t="inlineStr">
        <is>
          <t>DESKRIPSI KONTEN</t>
        </is>
      </c>
    </row>
    <row r="15" ht="20" customHeight="1">
      <c r="A15" s="7" t="inlineStr">
        <is>
          <t>PSNR_MSE</t>
        </is>
      </c>
      <c r="B15" s="8" t="inlineStr">
        <is>
          <t>Tabel 5.1: Hasil uji kualitas citra (5 citra x 3 variasi muatan) lengkap dengan rumus AVERAGE</t>
        </is>
      </c>
    </row>
    <row r="16" ht="20" customHeight="1">
      <c r="A16" s="7" t="inlineStr">
        <is>
          <t>Sensitivitas_Key</t>
        </is>
      </c>
      <c r="B16" s="8" t="inlineStr">
        <is>
          <t>Tabel 5.2: Uji avalanche effect kunci stego acak (kunci benar vs kunci salah)</t>
        </is>
      </c>
    </row>
    <row r="17" ht="20" customHeight="1">
      <c r="A17" s="7" t="inlineStr">
        <is>
          <t>JPEG_Fragility</t>
        </is>
      </c>
      <c r="B17" s="8" t="inlineStr">
        <is>
          <t>Tabel 5.3: Pengujian kerapuhan format terhadap kompresi lossy JPEG (Q90, Q75, Q50)</t>
        </is>
      </c>
    </row>
    <row r="18" ht="20" customHeight="1">
      <c r="A18" s="7" t="inlineStr">
        <is>
          <t>Steganalisis</t>
        </is>
      </c>
      <c r="B18" s="8" t="inlineStr">
        <is>
          <t>Pengujian statistik Chi-Square PoV kanal RGB, Suspicion Score, dan piksel termodifikasi</t>
        </is>
      </c>
    </row>
    <row r="19" ht="20" customHeight="1">
      <c r="A19" s="7" t="inlineStr">
        <is>
          <t>Histogram</t>
        </is>
      </c>
      <c r="B19" s="8" t="inlineStr">
        <is>
          <t>Komparasi statistik distribusi frekuensi nilai warna (Mean &amp; Variance) cover vs stego</t>
        </is>
      </c>
    </row>
    <row r="20" ht="20" customHeight="1">
      <c r="A20" s="7" t="inlineStr">
        <is>
          <t>Kapasitas</t>
        </is>
      </c>
      <c r="B20" s="8" t="inlineStr">
        <is>
          <t>Spesifikasi kapasitas bit LSB tiap citra dan pengujian penolakan muatan berlebih</t>
        </is>
      </c>
    </row>
    <row r="21" ht="20" customHeight="1">
      <c r="A21" s="7" t="inlineStr">
        <is>
          <t>Pengayaan_Dokumen</t>
        </is>
      </c>
      <c r="B21" s="8" t="inlineStr">
        <is>
          <t>Bukti integritas penyisipan dokumen Microsoft Word (.docx) dengan verifikasi SHA-256</t>
        </is>
      </c>
    </row>
    <row r="22" ht="20" customHeight="1">
      <c r="A22" s="7" t="inlineStr">
        <is>
          <t>Unit_Test</t>
        </is>
      </c>
      <c r="B22" s="8" t="inlineStr">
        <is>
          <t>Daftar 7 unit test otomatis fungsi inti sistem beserta status eksekusi (Pass/Fail)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22" customWidth="1" min="2" max="2"/>
    <col width="16" customWidth="1" min="3" max="3"/>
    <col width="15" customWidth="1" min="4" max="4"/>
    <col width="25" customWidth="1" min="5" max="5"/>
    <col width="30" customWidth="1" min="6" max="6"/>
    <col width="25" customWidth="1" min="7" max="7"/>
    <col width="25" customWidth="1" min="8" max="8"/>
    <col width="30" customWidth="1" min="9" max="9"/>
    <col width="30" customWidth="1" min="10" max="10"/>
    <col width="44" customWidth="1" min="11" max="11"/>
    <col width="19" customWidth="1" min="12" max="12"/>
  </cols>
  <sheetData>
    <row r="1">
      <c r="A1" s="1" t="inlineStr">
        <is>
          <t>TABEL 5.1: HASIL PENGUJIAN KUALITAS CITRA (PSNR DAN MSE PADA 5 CITRA x 3 UKURAN PESAN)</t>
        </is>
      </c>
    </row>
    <row r="2"/>
    <row r="3" ht="28" customHeight="1">
      <c r="A3" s="9" t="inlineStr">
        <is>
          <t>No</t>
        </is>
      </c>
      <c r="B3" s="9" t="inlineStr">
        <is>
          <t>Nama Berkas Citra</t>
        </is>
      </c>
      <c r="C3" s="9" t="inlineStr">
        <is>
          <t>Resolusi (px)</t>
        </is>
      </c>
      <c r="D3" s="9" t="inlineStr">
        <is>
          <t>Total Piksel</t>
        </is>
      </c>
      <c r="E3" s="9" t="inlineStr">
        <is>
          <t>Kapasitas Maks (Bytes)</t>
        </is>
      </c>
      <c r="F3" s="9" t="inlineStr">
        <is>
          <t>Jenis &amp; Ukuran Muatan</t>
        </is>
      </c>
      <c r="G3" s="9" t="inlineStr">
        <is>
          <t>Ukuran Payload (Bytes)</t>
        </is>
      </c>
      <c r="H3" s="9" t="inlineStr">
        <is>
          <t>Kapasitas Terpakai (%)</t>
        </is>
      </c>
      <c r="I3" s="9" t="inlineStr">
        <is>
          <t>Nilai MSE</t>
        </is>
      </c>
      <c r="J3" s="9" t="inlineStr">
        <is>
          <t>Kualitas PSNR (dB)</t>
        </is>
      </c>
      <c r="K3" s="9" t="inlineStr">
        <is>
          <t>Kepatuhan (&gt;= 30 dB)</t>
        </is>
      </c>
      <c r="L3" s="9" t="inlineStr">
        <is>
          <t>Status Ekstraksi</t>
        </is>
      </c>
    </row>
    <row r="4">
      <c r="A4" s="10" t="n">
        <v>1</v>
      </c>
      <c r="B4" s="11" t="inlineStr">
        <is>
          <t>Mount-Everest.png</t>
        </is>
      </c>
      <c r="C4" s="10" t="inlineStr">
        <is>
          <t>1280 x 890</t>
        </is>
      </c>
      <c r="D4" s="12" t="n">
        <v>1139200</v>
      </c>
      <c r="E4" s="12" t="n">
        <v>427196</v>
      </c>
      <c r="F4" s="11" t="inlineStr">
        <is>
          <t>Kecil: Teks String (14 chars)</t>
        </is>
      </c>
      <c r="G4" s="12" t="n">
        <v>60</v>
      </c>
      <c r="H4" s="13">
        <f>(G4/E4)*100</f>
        <v/>
      </c>
      <c r="I4" s="14" t="n">
        <v>8.2e-05</v>
      </c>
      <c r="J4" s="15" t="n">
        <v>89</v>
      </c>
      <c r="K4" s="16">
        <f>IF(J4&gt;=30, "Lolos (&gt;= 30 dB)", "Gagal")</f>
        <v/>
      </c>
      <c r="L4" s="10" t="inlineStr">
        <is>
          <t>Berhasil</t>
        </is>
      </c>
    </row>
    <row r="5">
      <c r="A5" s="10" t="inlineStr"/>
      <c r="B5" s="11" t="inlineStr"/>
      <c r="C5" s="10" t="inlineStr"/>
      <c r="D5" s="17" t="inlineStr"/>
      <c r="E5" s="17" t="inlineStr"/>
      <c r="F5" s="11" t="inlineStr">
        <is>
          <t>Sedang: Dokumen Word (.docx)</t>
        </is>
      </c>
      <c r="G5" s="12" t="n">
        <v>15257</v>
      </c>
      <c r="H5" s="13">
        <f>(G5/E4)*100</f>
        <v/>
      </c>
      <c r="I5" s="14" t="n">
        <v>0.014818</v>
      </c>
      <c r="J5" s="15" t="n">
        <v>66.42</v>
      </c>
      <c r="K5" s="16">
        <f>IF(J5&gt;=30, "Lolos (&gt;= 30 dB)", "Gagal")</f>
        <v/>
      </c>
      <c r="L5" s="10" t="inlineStr">
        <is>
          <t>Berhasil</t>
        </is>
      </c>
    </row>
    <row r="6">
      <c r="A6" s="18" t="inlineStr"/>
      <c r="B6" s="19" t="inlineStr"/>
      <c r="C6" s="18" t="inlineStr"/>
      <c r="D6" s="20" t="inlineStr"/>
      <c r="E6" s="20" t="inlineStr"/>
      <c r="F6" s="19" t="inlineStr">
        <is>
          <t>Besar: Foto Biner (.jpg)</t>
        </is>
      </c>
      <c r="G6" s="21" t="n">
        <v>67788</v>
      </c>
      <c r="H6" s="22">
        <f>(G6/E4)*100</f>
        <v/>
      </c>
      <c r="I6" s="23" t="n">
        <v>0.079236</v>
      </c>
      <c r="J6" s="24" t="n">
        <v>59.14</v>
      </c>
      <c r="K6" s="25">
        <f>IF(J6&gt;=30, "Lolos (&gt;= 30 dB)", "Gagal")</f>
        <v/>
      </c>
      <c r="L6" s="26" t="inlineStr">
        <is>
          <t>Berhasil</t>
        </is>
      </c>
    </row>
    <row r="7">
      <c r="A7" s="18" t="n">
        <v>2</v>
      </c>
      <c r="B7" s="19" t="inlineStr">
        <is>
          <t>Naruto_Uzumaki.png</t>
        </is>
      </c>
      <c r="C7" s="18" t="inlineStr">
        <is>
          <t>360 x 545</t>
        </is>
      </c>
      <c r="D7" s="21" t="n">
        <v>196200</v>
      </c>
      <c r="E7" s="21" t="n">
        <v>73567</v>
      </c>
      <c r="F7" s="19" t="inlineStr">
        <is>
          <t>Kecil: Teks String (14 chars)</t>
        </is>
      </c>
      <c r="G7" s="21" t="n">
        <v>60</v>
      </c>
      <c r="H7" s="22">
        <f>(G7/E7)*100</f>
        <v/>
      </c>
      <c r="I7" s="23" t="n">
        <v>0.000476</v>
      </c>
      <c r="J7" s="24" t="n">
        <v>81.36</v>
      </c>
      <c r="K7" s="25">
        <f>IF(J7&gt;=30, "Lolos (&gt;= 30 dB)", "Gagal")</f>
        <v/>
      </c>
      <c r="L7" s="26" t="inlineStr">
        <is>
          <t>Berhasil</t>
        </is>
      </c>
    </row>
    <row r="8">
      <c r="A8" s="18" t="inlineStr"/>
      <c r="B8" s="19" t="inlineStr"/>
      <c r="C8" s="18" t="inlineStr"/>
      <c r="D8" s="20" t="inlineStr"/>
      <c r="E8" s="20" t="inlineStr"/>
      <c r="F8" s="19" t="inlineStr">
        <is>
          <t>Sedang: Dokumen Word (.docx)</t>
        </is>
      </c>
      <c r="G8" s="21" t="n">
        <v>15257</v>
      </c>
      <c r="H8" s="22">
        <f>(G8/E7)*100</f>
        <v/>
      </c>
      <c r="I8" s="23" t="n">
        <v>0.085753</v>
      </c>
      <c r="J8" s="24" t="n">
        <v>58.8</v>
      </c>
      <c r="K8" s="25">
        <f>IF(J8&gt;=30, "Lolos (&gt;= 30 dB)", "Gagal")</f>
        <v/>
      </c>
      <c r="L8" s="26" t="inlineStr">
        <is>
          <t>Berhasil</t>
        </is>
      </c>
    </row>
    <row r="9">
      <c r="A9" s="10" t="inlineStr"/>
      <c r="B9" s="11" t="inlineStr"/>
      <c r="C9" s="10" t="inlineStr"/>
      <c r="D9" s="17" t="inlineStr"/>
      <c r="E9" s="17" t="inlineStr"/>
      <c r="F9" s="11" t="inlineStr">
        <is>
          <t>Besar: Foto Biner (.jpg)</t>
        </is>
      </c>
      <c r="G9" s="12" t="n">
        <v>67788</v>
      </c>
      <c r="H9" s="13">
        <f>(G9/E7)*100</f>
        <v/>
      </c>
      <c r="I9" s="14" t="n">
        <v>0.460567</v>
      </c>
      <c r="J9" s="15" t="n">
        <v>51.5</v>
      </c>
      <c r="K9" s="16">
        <f>IF(J9&gt;=30, "Lolos (&gt;= 30 dB)", "Gagal")</f>
        <v/>
      </c>
      <c r="L9" s="10" t="inlineStr">
        <is>
          <t>Berhasil</t>
        </is>
      </c>
    </row>
    <row r="10">
      <c r="A10" s="10" t="n">
        <v>3</v>
      </c>
      <c r="B10" s="11" t="inlineStr">
        <is>
          <t>logo_MU.png</t>
        </is>
      </c>
      <c r="C10" s="10" t="inlineStr">
        <is>
          <t>1263 x 1280</t>
        </is>
      </c>
      <c r="D10" s="12" t="n">
        <v>1616640</v>
      </c>
      <c r="E10" s="12" t="n">
        <v>606232</v>
      </c>
      <c r="F10" s="11" t="inlineStr">
        <is>
          <t>Kecil: Teks String (14 chars)</t>
        </is>
      </c>
      <c r="G10" s="12" t="n">
        <v>60</v>
      </c>
      <c r="H10" s="13">
        <f>(G10/E10)*100</f>
        <v/>
      </c>
      <c r="I10" s="14" t="n">
        <v>5.3e-05</v>
      </c>
      <c r="J10" s="15" t="n">
        <v>90.86</v>
      </c>
      <c r="K10" s="16">
        <f>IF(J10&gt;=30, "Lolos (&gt;= 30 dB)", "Gagal")</f>
        <v/>
      </c>
      <c r="L10" s="10" t="inlineStr">
        <is>
          <t>Berhasil</t>
        </is>
      </c>
    </row>
    <row r="11">
      <c r="A11" s="10" t="inlineStr"/>
      <c r="B11" s="11" t="inlineStr"/>
      <c r="C11" s="10" t="inlineStr"/>
      <c r="D11" s="17" t="inlineStr"/>
      <c r="E11" s="17" t="inlineStr"/>
      <c r="F11" s="11" t="inlineStr">
        <is>
          <t>Sedang: Dokumen Word (.docx)</t>
        </is>
      </c>
      <c r="G11" s="12" t="n">
        <v>15257</v>
      </c>
      <c r="H11" s="13">
        <f>(G11/E10)*100</f>
        <v/>
      </c>
      <c r="I11" s="14" t="n">
        <v>0.010467</v>
      </c>
      <c r="J11" s="15" t="n">
        <v>67.93000000000001</v>
      </c>
      <c r="K11" s="16">
        <f>IF(J11&gt;=30, "Lolos (&gt;= 30 dB)", "Gagal")</f>
        <v/>
      </c>
      <c r="L11" s="10" t="inlineStr">
        <is>
          <t>Berhasil</t>
        </is>
      </c>
    </row>
    <row r="12">
      <c r="A12" s="18" t="inlineStr"/>
      <c r="B12" s="19" t="inlineStr"/>
      <c r="C12" s="18" t="inlineStr"/>
      <c r="D12" s="20" t="inlineStr"/>
      <c r="E12" s="20" t="inlineStr"/>
      <c r="F12" s="19" t="inlineStr">
        <is>
          <t>Besar: Foto Biner (.jpg)</t>
        </is>
      </c>
      <c r="G12" s="21" t="n">
        <v>67788</v>
      </c>
      <c r="H12" s="22">
        <f>(G12/E10)*100</f>
        <v/>
      </c>
      <c r="I12" s="23" t="n">
        <v>0.055901</v>
      </c>
      <c r="J12" s="24" t="n">
        <v>60.66</v>
      </c>
      <c r="K12" s="25">
        <f>IF(J12&gt;=30, "Lolos (&gt;= 30 dB)", "Gagal")</f>
        <v/>
      </c>
      <c r="L12" s="26" t="inlineStr">
        <is>
          <t>Berhasil</t>
        </is>
      </c>
    </row>
    <row r="13">
      <c r="A13" s="18" t="n">
        <v>4</v>
      </c>
      <c r="B13" s="19" t="inlineStr">
        <is>
          <t>GPU.jpg</t>
        </is>
      </c>
      <c r="C13" s="18" t="inlineStr">
        <is>
          <t>1024 x 576</t>
        </is>
      </c>
      <c r="D13" s="21" t="n">
        <v>589824</v>
      </c>
      <c r="E13" s="21" t="n">
        <v>221176</v>
      </c>
      <c r="F13" s="19" t="inlineStr">
        <is>
          <t>Kecil: Teks String (14 chars)</t>
        </is>
      </c>
      <c r="G13" s="21" t="n">
        <v>60</v>
      </c>
      <c r="H13" s="22">
        <f>(G13/E13)*100</f>
        <v/>
      </c>
      <c r="I13" s="23" t="n">
        <v>0.000143</v>
      </c>
      <c r="J13" s="24" t="n">
        <v>86.58</v>
      </c>
      <c r="K13" s="25">
        <f>IF(J13&gt;=30, "Lolos (&gt;= 30 dB)", "Gagal")</f>
        <v/>
      </c>
      <c r="L13" s="26" t="inlineStr">
        <is>
          <t>Berhasil</t>
        </is>
      </c>
    </row>
    <row r="14">
      <c r="A14" s="18" t="inlineStr"/>
      <c r="B14" s="19" t="inlineStr"/>
      <c r="C14" s="18" t="inlineStr"/>
      <c r="D14" s="20" t="inlineStr"/>
      <c r="E14" s="20" t="inlineStr"/>
      <c r="F14" s="19" t="inlineStr">
        <is>
          <t>Sedang: Dokumen Word (.docx)</t>
        </is>
      </c>
      <c r="G14" s="21" t="n">
        <v>15257</v>
      </c>
      <c r="H14" s="22">
        <f>(G14/E13)*100</f>
        <v/>
      </c>
      <c r="I14" s="23" t="n">
        <v>0.028601</v>
      </c>
      <c r="J14" s="24" t="n">
        <v>63.57</v>
      </c>
      <c r="K14" s="25">
        <f>IF(J14&gt;=30, "Lolos (&gt;= 30 dB)", "Gagal")</f>
        <v/>
      </c>
      <c r="L14" s="26" t="inlineStr">
        <is>
          <t>Berhasil</t>
        </is>
      </c>
    </row>
    <row r="15">
      <c r="A15" s="10" t="inlineStr"/>
      <c r="B15" s="11" t="inlineStr"/>
      <c r="C15" s="10" t="inlineStr"/>
      <c r="D15" s="17" t="inlineStr"/>
      <c r="E15" s="17" t="inlineStr"/>
      <c r="F15" s="11" t="inlineStr">
        <is>
          <t>Besar: Foto Biner (.jpg)</t>
        </is>
      </c>
      <c r="G15" s="12" t="n">
        <v>67788</v>
      </c>
      <c r="H15" s="13">
        <f>(G15/E13)*100</f>
        <v/>
      </c>
      <c r="I15" s="14" t="n">
        <v>0.152562</v>
      </c>
      <c r="J15" s="15" t="n">
        <v>56.3</v>
      </c>
      <c r="K15" s="16">
        <f>IF(J15&gt;=30, "Lolos (&gt;= 30 dB)", "Gagal")</f>
        <v/>
      </c>
      <c r="L15" s="10" t="inlineStr">
        <is>
          <t>Berhasil</t>
        </is>
      </c>
    </row>
    <row r="16">
      <c r="A16" s="10" t="n">
        <v>5</v>
      </c>
      <c r="B16" s="11" t="inlineStr">
        <is>
          <t>foto_rumah.png</t>
        </is>
      </c>
      <c r="C16" s="10" t="inlineStr">
        <is>
          <t>960 x 1280</t>
        </is>
      </c>
      <c r="D16" s="12" t="n">
        <v>1228800</v>
      </c>
      <c r="E16" s="12" t="n">
        <v>460792</v>
      </c>
      <c r="F16" s="11" t="inlineStr">
        <is>
          <t>Kecil: Teks String (14 chars)</t>
        </is>
      </c>
      <c r="G16" s="12" t="n">
        <v>60</v>
      </c>
      <c r="H16" s="13">
        <f>(G16/E16)*100</f>
        <v/>
      </c>
      <c r="I16" s="14" t="n">
        <v>7.4e-05</v>
      </c>
      <c r="J16" s="15" t="n">
        <v>89.44</v>
      </c>
      <c r="K16" s="16">
        <f>IF(J16&gt;=30, "Lolos (&gt;= 30 dB)", "Gagal")</f>
        <v/>
      </c>
      <c r="L16" s="10" t="inlineStr">
        <is>
          <t>Berhasil</t>
        </is>
      </c>
    </row>
    <row r="17">
      <c r="A17" s="10" t="inlineStr"/>
      <c r="B17" s="11" t="inlineStr"/>
      <c r="C17" s="10" t="inlineStr"/>
      <c r="D17" s="17" t="inlineStr"/>
      <c r="E17" s="17" t="inlineStr"/>
      <c r="F17" s="11" t="inlineStr">
        <is>
          <t>Sedang: Dokumen Word (.docx)</t>
        </is>
      </c>
      <c r="G17" s="12" t="n">
        <v>15257</v>
      </c>
      <c r="H17" s="13">
        <f>(G17/E16)*100</f>
        <v/>
      </c>
      <c r="I17" s="14" t="n">
        <v>0.013658</v>
      </c>
      <c r="J17" s="15" t="n">
        <v>66.78</v>
      </c>
      <c r="K17" s="16">
        <f>IF(J17&gt;=30, "Lolos (&gt;= 30 dB)", "Gagal")</f>
        <v/>
      </c>
      <c r="L17" s="10" t="inlineStr">
        <is>
          <t>Berhasil</t>
        </is>
      </c>
    </row>
    <row r="18">
      <c r="A18" s="18" t="inlineStr"/>
      <c r="B18" s="19" t="inlineStr"/>
      <c r="C18" s="18" t="inlineStr"/>
      <c r="D18" s="20" t="inlineStr"/>
      <c r="E18" s="20" t="inlineStr"/>
      <c r="F18" s="19" t="inlineStr">
        <is>
          <t>Besar: Foto Biner (.jpg)</t>
        </is>
      </c>
      <c r="G18" s="21" t="n">
        <v>67788</v>
      </c>
      <c r="H18" s="22">
        <f>(G18/E16)*100</f>
        <v/>
      </c>
      <c r="I18" s="23" t="n">
        <v>0.07337399999999999</v>
      </c>
      <c r="J18" s="24" t="n">
        <v>59.48</v>
      </c>
      <c r="K18" s="25">
        <f>IF(J18&gt;=30, "Lolos (&gt;= 30 dB)", "Gagal")</f>
        <v/>
      </c>
      <c r="L18" s="26" t="inlineStr">
        <is>
          <t>Berhasil</t>
        </is>
      </c>
    </row>
    <row r="19">
      <c r="A19" s="27" t="inlineStr">
        <is>
          <t>RATA-RATA MUATAN KECIL (TEKS 60 B)</t>
        </is>
      </c>
      <c r="B19" s="28" t="n"/>
      <c r="C19" s="28" t="n"/>
      <c r="D19" s="28" t="n"/>
      <c r="E19" s="28" t="n"/>
      <c r="F19" s="28" t="n"/>
      <c r="G19" s="28" t="n"/>
      <c r="H19" s="28" t="n"/>
      <c r="I19" s="29">
        <f>AVERAGE(I4,I7,I10,I13,I16)</f>
        <v/>
      </c>
      <c r="J19" s="30">
        <f>AVERAGE(J4,J7,J10,J13,J16)</f>
        <v/>
      </c>
      <c r="K19" s="31" t="inlineStr">
        <is>
          <t>100% Lolos</t>
        </is>
      </c>
      <c r="L19" s="31" t="inlineStr">
        <is>
          <t>100% Berhasil</t>
        </is>
      </c>
    </row>
    <row r="20">
      <c r="A20" s="27" t="inlineStr">
        <is>
          <t>RATA-RATA MUATAN SEDANG (DOCX 14.9 KB)</t>
        </is>
      </c>
      <c r="B20" s="28" t="n"/>
      <c r="C20" s="28" t="n"/>
      <c r="D20" s="28" t="n"/>
      <c r="E20" s="28" t="n"/>
      <c r="F20" s="28" t="n"/>
      <c r="G20" s="28" t="n"/>
      <c r="H20" s="28" t="n"/>
      <c r="I20" s="29">
        <f>AVERAGE(I5,I8,I11,I14,I17)</f>
        <v/>
      </c>
      <c r="J20" s="30">
        <f>AVERAGE(J5,J8,J11,J14,J17)</f>
        <v/>
      </c>
      <c r="K20" s="31" t="inlineStr">
        <is>
          <t>100% Lolos</t>
        </is>
      </c>
      <c r="L20" s="31" t="inlineStr">
        <is>
          <t>100% Berhasil</t>
        </is>
      </c>
    </row>
    <row r="21">
      <c r="A21" s="27" t="inlineStr">
        <is>
          <t>RATA-RATA MUATAN BESAR (FOTO 66.2 KB)</t>
        </is>
      </c>
      <c r="B21" s="28" t="n"/>
      <c r="C21" s="28" t="n"/>
      <c r="D21" s="28" t="n"/>
      <c r="E21" s="28" t="n"/>
      <c r="F21" s="28" t="n"/>
      <c r="G21" s="28" t="n"/>
      <c r="H21" s="28" t="n"/>
      <c r="I21" s="29">
        <f>AVERAGE(I6,I9,I12,I15,I18)</f>
        <v/>
      </c>
      <c r="J21" s="30">
        <f>AVERAGE(J6,J9,J12,J15,J18)</f>
        <v/>
      </c>
      <c r="K21" s="31" t="inlineStr">
        <is>
          <t>100% Lolos</t>
        </is>
      </c>
      <c r="L21" s="31" t="inlineStr">
        <is>
          <t>100% Berhasil</t>
        </is>
      </c>
    </row>
    <row r="22">
      <c r="A22" s="27" t="inlineStr">
        <is>
          <t>RATA-RATA KESELURUHAN (15 PERCOBAAN)</t>
        </is>
      </c>
      <c r="B22" s="28" t="n"/>
      <c r="C22" s="28" t="n"/>
      <c r="D22" s="28" t="n"/>
      <c r="E22" s="28" t="n"/>
      <c r="F22" s="28" t="n"/>
      <c r="G22" s="28" t="n"/>
      <c r="H22" s="28" t="n"/>
      <c r="I22" s="29">
        <f>AVERAGE(I4:I18)</f>
        <v/>
      </c>
      <c r="J22" s="30">
        <f>AVERAGE(J4:J18)</f>
        <v/>
      </c>
      <c r="K22" s="31" t="inlineStr">
        <is>
          <t>100% Lolos</t>
        </is>
      </c>
      <c r="L22" s="31" t="inlineStr">
        <is>
          <t>100% Berhasil</t>
        </is>
      </c>
    </row>
  </sheetData>
  <mergeCells count="4">
    <mergeCell ref="A20:H20"/>
    <mergeCell ref="A19:H19"/>
    <mergeCell ref="A21:H2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30" customWidth="1" min="4" max="4"/>
    <col width="30" customWidth="1" min="5" max="5"/>
    <col width="38" customWidth="1" min="6" max="6"/>
  </cols>
  <sheetData>
    <row r="1">
      <c r="A1" s="1" t="inlineStr">
        <is>
          <t>TABEL 5.2: HASIL PENGUJIAN SENSITIVITAS STEGO-KEY (AVALANCHE EFFECT)</t>
        </is>
      </c>
    </row>
    <row r="2"/>
    <row r="3">
      <c r="A3" s="9" t="inlineStr">
        <is>
          <t>No</t>
        </is>
      </c>
      <c r="B3" s="9" t="inlineStr">
        <is>
          <t>Stego-Key yang Diuji</t>
        </is>
      </c>
      <c r="C3" s="9" t="inlineStr">
        <is>
          <t>Karakteristik Pengujian Kunci</t>
        </is>
      </c>
      <c r="D3" s="9" t="inlineStr">
        <is>
          <t>Respon Sistem</t>
        </is>
      </c>
      <c r="E3" s="9" t="inlineStr">
        <is>
          <t>Status Autentikasi</t>
        </is>
      </c>
      <c r="F3" s="9" t="inlineStr">
        <is>
          <t>Hasil Ekstraksi Pesan</t>
        </is>
      </c>
    </row>
    <row r="4">
      <c r="A4" s="32" t="n">
        <v>1</v>
      </c>
      <c r="B4" s="33" t="inlineStr">
        <is>
          <t>YLPC2#?qDxJu=b#y9gN2</t>
        </is>
      </c>
      <c r="C4" s="33" t="inlineStr">
        <is>
          <t>Kunci Asli Hasil Pembangkitan Acak (Generate)</t>
        </is>
      </c>
      <c r="D4" s="32" t="inlineStr">
        <is>
          <t>Diterima (Otentik)</t>
        </is>
      </c>
      <c r="E4" s="32" t="inlineStr">
        <is>
          <t>Lolos Verifikasi Tag</t>
        </is>
      </c>
      <c r="F4" s="33" t="inlineStr">
        <is>
          <t>Pesan terdekripsi sempurna (100% Utuh)</t>
        </is>
      </c>
    </row>
    <row r="5">
      <c r="A5" s="34" t="n">
        <v>2</v>
      </c>
      <c r="B5" s="35" t="inlineStr">
        <is>
          <t>YLPC2#?qDxJu=b#y9gN1</t>
        </is>
      </c>
      <c r="C5" s="35" t="inlineStr">
        <is>
          <t>Ubah 1 karakter terakhir ('2' -&gt; '1')</t>
        </is>
      </c>
      <c r="D5" s="36" t="inlineStr">
        <is>
          <t>Ditolak Sistem (Header Mismatch)</t>
        </is>
      </c>
      <c r="E5" s="36" t="inlineStr">
        <is>
          <t>Gagal Verifikasi</t>
        </is>
      </c>
      <c r="F5" s="37" t="inlineStr">
        <is>
          <t>Ekstraksi Gagal (Derau Acak)</t>
        </is>
      </c>
    </row>
    <row r="6">
      <c r="A6" s="34" t="n">
        <v>3</v>
      </c>
      <c r="B6" s="35" t="inlineStr">
        <is>
          <t>YLPC2#?qDxJu=b#y9gN</t>
        </is>
      </c>
      <c r="C6" s="35" t="inlineStr">
        <is>
          <t>Hapus 1 karakter terakhir</t>
        </is>
      </c>
      <c r="D6" s="36" t="inlineStr">
        <is>
          <t>Ditolak Sistem (Header Mismatch)</t>
        </is>
      </c>
      <c r="E6" s="36" t="inlineStr">
        <is>
          <t>Gagal Verifikasi</t>
        </is>
      </c>
      <c r="F6" s="37" t="inlineStr">
        <is>
          <t>Ekstraksi Gagal (Derau Acak)</t>
        </is>
      </c>
    </row>
    <row r="7">
      <c r="A7" s="34" t="n">
        <v>4</v>
      </c>
      <c r="B7" s="35" t="inlineStr">
        <is>
          <t>yLPC2#?qDxJu=b#y9gN2</t>
        </is>
      </c>
      <c r="C7" s="35" t="inlineStr">
        <is>
          <t>Ubah huruf kapital awal ('Y' -&gt; 'y')</t>
        </is>
      </c>
      <c r="D7" s="36" t="inlineStr">
        <is>
          <t>Ditolak Sistem (Header Mismatch)</t>
        </is>
      </c>
      <c r="E7" s="36" t="inlineStr">
        <is>
          <t>Gagal Verifikasi</t>
        </is>
      </c>
      <c r="F7" s="37" t="inlineStr">
        <is>
          <t>Ekstraksi Gagal (Derau Acak)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</cols>
  <sheetData>
    <row r="1">
      <c r="A1" s="1" t="inlineStr">
        <is>
          <t>TABEL 5.3: HASIL PENGUJIAN UJI KERAPUHAN CITRA (JPEG FRAGILITY TEST)</t>
        </is>
      </c>
    </row>
    <row r="2"/>
    <row r="3">
      <c r="A3" s="9" t="inlineStr">
        <is>
          <t>No</t>
        </is>
      </c>
      <c r="B3" s="9" t="inlineStr">
        <is>
          <t>Format &amp; Kondisi Citra</t>
        </is>
      </c>
      <c r="C3" s="9" t="inlineStr">
        <is>
          <t>Kualitas Citra</t>
        </is>
      </c>
      <c r="D3" s="9" t="inlineStr">
        <is>
          <t>Validitas Magic Header (HBIT)</t>
        </is>
      </c>
      <c r="E3" s="9" t="inlineStr">
        <is>
          <t>Integritas Tag Otentikasi GCM</t>
        </is>
      </c>
      <c r="F3" s="9" t="inlineStr">
        <is>
          <t>Status Ekstraksi Pesan</t>
        </is>
      </c>
      <c r="G3" s="9" t="inlineStr">
        <is>
          <t>Keterangan Ilmiah</t>
        </is>
      </c>
    </row>
    <row r="4">
      <c r="A4" s="32" t="n">
        <v>1</v>
      </c>
      <c r="B4" s="33" t="inlineStr">
        <is>
          <t>PNG Stego Asli (Lossless)</t>
        </is>
      </c>
      <c r="C4" s="32" t="inlineStr">
        <is>
          <t>Asli (100%)</t>
        </is>
      </c>
      <c r="D4" s="32" t="inlineStr">
        <is>
          <t>Valid (Ditemukan)</t>
        </is>
      </c>
      <c r="E4" s="32" t="inlineStr">
        <is>
          <t>Valid (Cocok)</t>
        </is>
      </c>
      <c r="F4" s="33" t="inlineStr">
        <is>
          <t>Berhasil (100% Utuh)</t>
        </is>
      </c>
      <c r="G4" s="33" t="inlineStr">
        <is>
          <t>Bit spasial LSB utuh tanpa ada kuantisasi frekuensi</t>
        </is>
      </c>
    </row>
    <row r="5">
      <c r="A5" s="34" t="n">
        <v>2</v>
      </c>
      <c r="B5" s="35" t="inlineStr">
        <is>
          <t>Disimpan ulang sebagai JPEG</t>
        </is>
      </c>
      <c r="C5" s="34" t="inlineStr">
        <is>
          <t>Kualitas Tinggi (Q90)</t>
        </is>
      </c>
      <c r="D5" s="36" t="inlineStr">
        <is>
          <t>Invalid (Rusak)</t>
        </is>
      </c>
      <c r="E5" s="36" t="inlineStr">
        <is>
          <t>Gagal Terverifikasi</t>
        </is>
      </c>
      <c r="F5" s="37" t="inlineStr">
        <is>
          <t>Ditolak Sistem (Corrupted)</t>
        </is>
      </c>
      <c r="G5" s="35" t="inlineStr">
        <is>
          <t>Kuantisasi koefisien DCT frekuensi tinggi memodifikasi piksel spasial</t>
        </is>
      </c>
    </row>
    <row r="6">
      <c r="A6" s="34" t="n">
        <v>3</v>
      </c>
      <c r="B6" s="35" t="inlineStr">
        <is>
          <t>Disimpan ulang sebagai JPEG</t>
        </is>
      </c>
      <c r="C6" s="34" t="inlineStr">
        <is>
          <t>Kualitas Standar (Q75)</t>
        </is>
      </c>
      <c r="D6" s="36" t="inlineStr">
        <is>
          <t>Invalid (Rusak)</t>
        </is>
      </c>
      <c r="E6" s="36" t="inlineStr">
        <is>
          <t>Gagal Terverifikasi</t>
        </is>
      </c>
      <c r="F6" s="37" t="inlineStr">
        <is>
          <t>Ditolak Sistem (Corrupted)</t>
        </is>
      </c>
      <c r="G6" s="35" t="inlineStr">
        <is>
          <t>Kompresi lossy standar merusak permanen seluruh koordinat LSB PRNG</t>
        </is>
      </c>
    </row>
    <row r="7">
      <c r="A7" s="34" t="n">
        <v>4</v>
      </c>
      <c r="B7" s="35" t="inlineStr">
        <is>
          <t>Disimpan ulang sebagai JPEG</t>
        </is>
      </c>
      <c r="C7" s="34" t="inlineStr">
        <is>
          <t>Kualitas Rendah (Q50)</t>
        </is>
      </c>
      <c r="D7" s="36" t="inlineStr">
        <is>
          <t>Invalid (Rusak)</t>
        </is>
      </c>
      <c r="E7" s="36" t="inlineStr">
        <is>
          <t>Gagal Terverifikasi</t>
        </is>
      </c>
      <c r="F7" s="37" t="inlineStr">
        <is>
          <t>Ditolak Sistem (Corrupted)</t>
        </is>
      </c>
      <c r="G7" s="35" t="inlineStr">
        <is>
          <t>Kuantisasi agresif mengubah nilai piksel secara drastis, LSB hancur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HASIL EVALUASI FORENSIK STEGANALISIS (CHI-SQUARE POV &amp; BIT-0 PLANE)</t>
        </is>
      </c>
    </row>
    <row r="2"/>
    <row r="3">
      <c r="A3" s="6" t="inlineStr">
        <is>
          <t>RINGKASAN SKOR KECURIGAAN &amp; DETEKSI DIFERENSIAL (Mount-Everest.png)</t>
        </is>
      </c>
    </row>
    <row r="4">
      <c r="A4" s="7" t="inlineStr">
        <is>
          <t>Citra Uji Stego</t>
        </is>
      </c>
      <c r="B4" s="8" t="inlineStr">
        <is>
          <t>hidebit-Mount-Everest.png (1280 x 890 px)</t>
        </is>
      </c>
      <c r="C4" s="38" t="n"/>
      <c r="D4" s="39" t="n"/>
    </row>
    <row r="5">
      <c r="A5" s="7" t="inlineStr">
        <is>
          <t>Citra Referensi Cover</t>
        </is>
      </c>
      <c r="B5" s="8" t="inlineStr">
        <is>
          <t>Mount-Everest.png (1280 x 890 px)</t>
        </is>
      </c>
      <c r="C5" s="38" t="n"/>
      <c r="D5" s="39" t="n"/>
    </row>
    <row r="6">
      <c r="A6" s="7" t="inlineStr">
        <is>
          <t>Heuristic Suspicion Score</t>
        </is>
      </c>
      <c r="B6" s="8" t="inlineStr">
        <is>
          <t>67.21 / 100 (Kategori: Kecurigaan Tinggi / Terbukti Stego)</t>
        </is>
      </c>
      <c r="C6" s="38" t="n"/>
      <c r="D6" s="39" t="n"/>
    </row>
    <row r="7">
      <c r="A7" s="7" t="inlineStr">
        <is>
          <t>Total Piksel Citra</t>
        </is>
      </c>
      <c r="B7" s="8" t="inlineStr">
        <is>
          <t>1,139,200 piksel</t>
        </is>
      </c>
      <c r="C7" s="38" t="n"/>
      <c r="D7" s="39" t="n"/>
    </row>
    <row r="8">
      <c r="A8" s="7" t="inlineStr">
        <is>
          <t>Piksel Termodifikasi (LSB)</t>
        </is>
      </c>
      <c r="B8" s="8" t="inlineStr">
        <is>
          <t>250,039 piksel (21.9486%)</t>
        </is>
      </c>
      <c r="C8" s="38" t="n"/>
      <c r="D8" s="39" t="n"/>
    </row>
    <row r="9">
      <c r="A9" s="7" t="inlineStr">
        <is>
          <t>Piksel Identik (Unchanged)</t>
        </is>
      </c>
      <c r="B9" s="8" t="inlineStr">
        <is>
          <t>889,161 piksel (78.0514%)</t>
        </is>
      </c>
      <c r="C9" s="38" t="n"/>
      <c r="D9" s="39" t="n"/>
    </row>
    <row r="10">
      <c r="A10" s="7" t="inlineStr">
        <is>
          <t>Maksimum Deviasi Nilai Piksel</t>
        </is>
      </c>
      <c r="B10" s="8" t="inlineStr">
        <is>
          <t>+-1 / 255 (0.39%)</t>
        </is>
      </c>
      <c r="C10" s="38" t="n"/>
      <c r="D10" s="39" t="n"/>
    </row>
    <row r="11">
      <c r="A11" s="7" t="inlineStr">
        <is>
          <t>Vonis Analisis Diferensial</t>
        </is>
      </c>
      <c r="B11" s="8" t="inlineStr">
        <is>
          <t>MODIFIKASI LSB TERBUKTI (DUAL COMPARISON MATCH)</t>
        </is>
      </c>
      <c r="C11" s="38" t="n"/>
      <c r="D11" s="39" t="n"/>
    </row>
    <row r="12"/>
    <row r="13"/>
    <row r="14">
      <c r="A14" s="3" t="inlineStr">
        <is>
          <t>PROFIL STATISTIK PASANGAN NILAI (PoV) WESTFELD (1999)</t>
        </is>
      </c>
    </row>
    <row r="15">
      <c r="A15" s="40" t="inlineStr">
        <is>
          <t>Kanal Warna</t>
        </is>
      </c>
      <c r="B15" s="40" t="inlineStr">
        <is>
          <t>Nilai Chi-Square (x2)</t>
        </is>
      </c>
      <c r="C15" s="40" t="inlineStr">
        <is>
          <t>Degrees of Freedom (df)</t>
        </is>
      </c>
      <c r="D15" s="40" t="inlineStr">
        <is>
          <t>P-Value Teoretis</t>
        </is>
      </c>
      <c r="E15" s="40" t="inlineStr">
        <is>
          <t>Kesetimbangan PoV (%)</t>
        </is>
      </c>
      <c r="F15" s="40" t="inlineStr">
        <is>
          <t>Status Indikasi Kanal</t>
        </is>
      </c>
    </row>
    <row r="16">
      <c r="A16" s="34" t="inlineStr">
        <is>
          <t>Red (Merah)</t>
        </is>
      </c>
      <c r="B16" s="41" t="n">
        <v>13751.69</v>
      </c>
      <c r="C16" s="34" t="n">
        <v>128</v>
      </c>
      <c r="D16" s="34" t="inlineStr">
        <is>
          <t>&lt; 0.0001</t>
        </is>
      </c>
      <c r="E16" s="42" t="n">
        <v>0.9687</v>
      </c>
      <c r="F16" s="43" t="inlineStr">
        <is>
          <t>ANOMALI TERDETEKSI</t>
        </is>
      </c>
    </row>
    <row r="17">
      <c r="A17" s="34" t="inlineStr">
        <is>
          <t>Green (Hijau)</t>
        </is>
      </c>
      <c r="B17" s="41" t="n">
        <v>9949.01</v>
      </c>
      <c r="C17" s="34" t="n">
        <v>127</v>
      </c>
      <c r="D17" s="34" t="inlineStr">
        <is>
          <t>&lt; 0.0001</t>
        </is>
      </c>
      <c r="E17" s="42" t="n">
        <v>0.9451000000000001</v>
      </c>
      <c r="F17" s="43" t="inlineStr">
        <is>
          <t>ANOMALI TERDETEKSI</t>
        </is>
      </c>
    </row>
    <row r="18">
      <c r="A18" s="34" t="inlineStr">
        <is>
          <t>Blue (Biru)</t>
        </is>
      </c>
      <c r="B18" s="41" t="n">
        <v>13349.09</v>
      </c>
      <c r="C18" s="34" t="n">
        <v>125</v>
      </c>
      <c r="D18" s="34" t="inlineStr">
        <is>
          <t>&lt; 0.0001</t>
        </is>
      </c>
      <c r="E18" s="42" t="n">
        <v>0.9387</v>
      </c>
      <c r="F18" s="43" t="inlineStr">
        <is>
          <t>ANOMALI TERDETEKSI</t>
        </is>
      </c>
    </row>
  </sheetData>
  <mergeCells count="10">
    <mergeCell ref="B10:D10"/>
    <mergeCell ref="B11:D11"/>
    <mergeCell ref="B5:D5"/>
    <mergeCell ref="A14:F14"/>
    <mergeCell ref="B8:D8"/>
    <mergeCell ref="A3:D3"/>
    <mergeCell ref="B4:D4"/>
    <mergeCell ref="B9:D9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KOMPARASI DISTRIBUSI HISTOGRAM WARNA COVER VS STEGO</t>
        </is>
      </c>
    </row>
    <row r="2"/>
    <row r="3">
      <c r="A3" s="9" t="inlineStr">
        <is>
          <t>Kanal Warna</t>
        </is>
      </c>
      <c r="B3" s="9" t="inlineStr">
        <is>
          <t>Mean Citra Cover</t>
        </is>
      </c>
      <c r="C3" s="9" t="inlineStr">
        <is>
          <t>Mean Citra Stego</t>
        </is>
      </c>
      <c r="D3" s="9" t="inlineStr">
        <is>
          <t>Delta Mean (Deviasi)</t>
        </is>
      </c>
      <c r="E3" s="9" t="inlineStr">
        <is>
          <t>Variance Cover</t>
        </is>
      </c>
      <c r="F3" s="9" t="inlineStr">
        <is>
          <t>Variance Stego</t>
        </is>
      </c>
      <c r="G3" s="9" t="inlineStr">
        <is>
          <t>Status Visual</t>
        </is>
      </c>
    </row>
    <row r="4">
      <c r="A4" s="34" t="inlineStr">
        <is>
          <t>Red (R)</t>
        </is>
      </c>
      <c r="B4" s="44" t="n">
        <v>118.423</v>
      </c>
      <c r="C4" s="44" t="n">
        <v>118.419</v>
      </c>
      <c r="D4" s="44">
        <f>-0.004</f>
        <v/>
      </c>
      <c r="E4" s="41" t="n">
        <v>3241.15</v>
      </c>
      <c r="F4" s="41" t="n">
        <v>3241.08</v>
      </c>
      <c r="G4" s="32" t="inlineStr">
        <is>
          <t>Identik Kasat Mata</t>
        </is>
      </c>
    </row>
    <row r="5">
      <c r="A5" s="34" t="inlineStr">
        <is>
          <t>Green (G)</t>
        </is>
      </c>
      <c r="B5" s="44" t="n">
        <v>134.812</v>
      </c>
      <c r="C5" s="44" t="n">
        <v>134.815</v>
      </c>
      <c r="D5" s="44">
        <f>0.003</f>
        <v/>
      </c>
      <c r="E5" s="41" t="n">
        <v>2985.42</v>
      </c>
      <c r="F5" s="41" t="n">
        <v>2985.39</v>
      </c>
      <c r="G5" s="32" t="inlineStr">
        <is>
          <t>Identik Kasat Mata</t>
        </is>
      </c>
    </row>
    <row r="6">
      <c r="A6" s="34" t="inlineStr">
        <is>
          <t>Blue (B)</t>
        </is>
      </c>
      <c r="B6" s="44" t="n">
        <v>156.291</v>
      </c>
      <c r="C6" s="44" t="n">
        <v>156.287</v>
      </c>
      <c r="D6" s="44">
        <f>-0.004</f>
        <v/>
      </c>
      <c r="E6" s="41" t="n">
        <v>3812.9</v>
      </c>
      <c r="F6" s="41" t="n">
        <v>3812.86</v>
      </c>
      <c r="G6" s="32" t="inlineStr">
        <is>
          <t>Identik Kasat Mata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4" customWidth="1" min="9" max="9"/>
    <col width="36" customWidth="1" min="10" max="10"/>
  </cols>
  <sheetData>
    <row r="1">
      <c r="A1" s="1" t="inlineStr">
        <is>
          <t>EVALUASI KAPASITAS PENYIMPANAN MAKSIMUM &amp; PENGUJIAN PENOLAKAN MUATAN</t>
        </is>
      </c>
    </row>
    <row r="2"/>
    <row r="3">
      <c r="A3" s="9" t="inlineStr">
        <is>
          <t>No</t>
        </is>
      </c>
      <c r="B3" s="9" t="inlineStr">
        <is>
          <t>Nama Citra</t>
        </is>
      </c>
      <c r="C3" s="9" t="inlineStr">
        <is>
          <t>Resolusi (px)</t>
        </is>
      </c>
      <c r="D3" s="9" t="inlineStr">
        <is>
          <t>Total Piksel</t>
        </is>
      </c>
      <c r="E3" s="9" t="inlineStr">
        <is>
          <t>Total Slot Bit LSB</t>
        </is>
      </c>
      <c r="F3" s="9" t="inlineStr">
        <is>
          <t>Header Biner (Bytes)</t>
        </is>
      </c>
      <c r="G3" s="9" t="inlineStr">
        <is>
          <t>Kapasitas Maks (Bytes)</t>
        </is>
      </c>
      <c r="H3" s="9" t="inlineStr">
        <is>
          <t>Kapasitas Maks (KB)</t>
        </is>
      </c>
      <c r="I3" s="9" t="inlineStr">
        <is>
          <t>Uji Muatan Berlebih (100 KB)</t>
        </is>
      </c>
      <c r="J3" s="9" t="inlineStr">
        <is>
          <t>Respon Sistem</t>
        </is>
      </c>
    </row>
    <row r="4">
      <c r="A4" s="34" t="n">
        <v>1</v>
      </c>
      <c r="B4" s="45" t="inlineStr">
        <is>
          <t>Mount-Everest.png</t>
        </is>
      </c>
      <c r="C4" s="34" t="inlineStr">
        <is>
          <t>1280 x 890</t>
        </is>
      </c>
      <c r="D4" s="46" t="n">
        <v>1139200</v>
      </c>
      <c r="E4" s="46" t="n">
        <v>3417600</v>
      </c>
      <c r="F4" s="34" t="n">
        <v>9</v>
      </c>
      <c r="G4" s="46" t="n">
        <v>427196</v>
      </c>
      <c r="H4" s="47">
        <f>G4/1024</f>
        <v/>
      </c>
      <c r="I4" s="34" t="inlineStr">
        <is>
          <t>Muat (Payload &lt; Max)</t>
        </is>
      </c>
      <c r="J4" s="32" t="inlineStr">
        <is>
          <t>Diterima &amp; Disisipkan</t>
        </is>
      </c>
    </row>
    <row r="5">
      <c r="A5" s="34" t="n">
        <v>2</v>
      </c>
      <c r="B5" s="45" t="inlineStr">
        <is>
          <t>Naruto_Uzumaki.png</t>
        </is>
      </c>
      <c r="C5" s="34" t="inlineStr">
        <is>
          <t>360 x 545</t>
        </is>
      </c>
      <c r="D5" s="46" t="n">
        <v>196200</v>
      </c>
      <c r="E5" s="46" t="n">
        <v>588600</v>
      </c>
      <c r="F5" s="34" t="n">
        <v>9</v>
      </c>
      <c r="G5" s="46" t="n">
        <v>73567</v>
      </c>
      <c r="H5" s="47">
        <f>G5/1024</f>
        <v/>
      </c>
      <c r="I5" s="34" t="inlineStr">
        <is>
          <t>LEBIH KAPASITAS (100 KB &gt; 71.8 KB)</t>
        </is>
      </c>
      <c r="J5" s="43" t="inlineStr">
        <is>
          <t>DITOLAK OTOMATIS (Capacity Exceeded)</t>
        </is>
      </c>
    </row>
    <row r="6">
      <c r="A6" s="34" t="n">
        <v>3</v>
      </c>
      <c r="B6" s="45" t="inlineStr">
        <is>
          <t>logo_MU.png</t>
        </is>
      </c>
      <c r="C6" s="34" t="inlineStr">
        <is>
          <t>1263 x 1280</t>
        </is>
      </c>
      <c r="D6" s="46" t="n">
        <v>1616640</v>
      </c>
      <c r="E6" s="46" t="n">
        <v>4849920</v>
      </c>
      <c r="F6" s="34" t="n">
        <v>9</v>
      </c>
      <c r="G6" s="46" t="n">
        <v>606232</v>
      </c>
      <c r="H6" s="47">
        <f>G6/1024</f>
        <v/>
      </c>
      <c r="I6" s="34" t="inlineStr">
        <is>
          <t>Muat (Payload &lt; Max)</t>
        </is>
      </c>
      <c r="J6" s="32" t="inlineStr">
        <is>
          <t>Diterima &amp; Disisipkan</t>
        </is>
      </c>
    </row>
    <row r="7">
      <c r="A7" s="34" t="n">
        <v>4</v>
      </c>
      <c r="B7" s="45" t="inlineStr">
        <is>
          <t>GPU.jpg</t>
        </is>
      </c>
      <c r="C7" s="34" t="inlineStr">
        <is>
          <t>1024 x 576</t>
        </is>
      </c>
      <c r="D7" s="46" t="n">
        <v>589824</v>
      </c>
      <c r="E7" s="46" t="n">
        <v>1769472</v>
      </c>
      <c r="F7" s="34" t="n">
        <v>9</v>
      </c>
      <c r="G7" s="46" t="n">
        <v>221176</v>
      </c>
      <c r="H7" s="47">
        <f>G7/1024</f>
        <v/>
      </c>
      <c r="I7" s="34" t="inlineStr">
        <is>
          <t>Muat (Payload &lt; Max)</t>
        </is>
      </c>
      <c r="J7" s="32" t="inlineStr">
        <is>
          <t>Diterima &amp; Disisipkan</t>
        </is>
      </c>
    </row>
    <row r="8">
      <c r="A8" s="34" t="n">
        <v>5</v>
      </c>
      <c r="B8" s="45" t="inlineStr">
        <is>
          <t>foto_rumah.png</t>
        </is>
      </c>
      <c r="C8" s="34" t="inlineStr">
        <is>
          <t>960 x 1280</t>
        </is>
      </c>
      <c r="D8" s="46" t="n">
        <v>1228800</v>
      </c>
      <c r="E8" s="46" t="n">
        <v>3686400</v>
      </c>
      <c r="F8" s="34" t="n">
        <v>9</v>
      </c>
      <c r="G8" s="46" t="n">
        <v>460792</v>
      </c>
      <c r="H8" s="47">
        <f>G8/1024</f>
        <v/>
      </c>
      <c r="I8" s="34" t="inlineStr">
        <is>
          <t>Muat (Payload &lt; Max)</t>
        </is>
      </c>
      <c r="J8" s="32" t="inlineStr">
        <is>
          <t>Diterima &amp; Disisipkan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36" customWidth="1" min="4" max="4"/>
  </cols>
  <sheetData>
    <row r="1">
      <c r="A1" s="1" t="inlineStr">
        <is>
          <t>PENGUJIAN FITUR PENGAYAAN: PENYISIPAN &amp; EKSTRAKSI BERKAS DOKUMEN ARBITRER</t>
        </is>
      </c>
    </row>
    <row r="2"/>
    <row r="3">
      <c r="A3" s="9" t="inlineStr">
        <is>
          <t>Parameter Pengujian</t>
        </is>
      </c>
      <c r="B3" s="9" t="inlineStr">
        <is>
          <t>Berkas Dokumen Asli (Sebelum Disisipkan)</t>
        </is>
      </c>
      <c r="C3" s="9" t="inlineStr">
        <is>
          <t>Berkas Dokumen Hasil Ekstraksi (Reveal)</t>
        </is>
      </c>
      <c r="D3" s="9" t="inlineStr">
        <is>
          <t>Status Kesesuaian (Integritas)</t>
        </is>
      </c>
    </row>
    <row r="4">
      <c r="A4" s="4" t="inlineStr">
        <is>
          <t>Nama Berkas</t>
        </is>
      </c>
      <c r="B4" s="35" t="inlineStr">
        <is>
          <t>dokumen_rahasia.docx</t>
        </is>
      </c>
      <c r="C4" s="35" t="inlineStr">
        <is>
          <t>dokumen_rahasia.docx</t>
        </is>
      </c>
      <c r="D4" s="25" t="inlineStr">
        <is>
          <t>Identik 100%</t>
        </is>
      </c>
    </row>
    <row r="5">
      <c r="A5" s="4" t="inlineStr">
        <is>
          <t>Format Berkas</t>
        </is>
      </c>
      <c r="B5" s="35" t="inlineStr">
        <is>
          <t>Microsoft Word Document (Biner Terkompresi)</t>
        </is>
      </c>
      <c r="C5" s="35" t="inlineStr">
        <is>
          <t>Microsoft Word Document (Biner Terkompresi)</t>
        </is>
      </c>
      <c r="D5" s="25" t="inlineStr">
        <is>
          <t>Format Terjaga Sempurna</t>
        </is>
      </c>
    </row>
    <row r="6">
      <c r="A6" s="4" t="inlineStr">
        <is>
          <t>Ukuran Berkas</t>
        </is>
      </c>
      <c r="B6" s="35" t="inlineStr">
        <is>
          <t>14,9 KB (15.257 Bytes)</t>
        </is>
      </c>
      <c r="C6" s="35" t="inlineStr">
        <is>
          <t>14,9 KB (15.257 Bytes)</t>
        </is>
      </c>
      <c r="D6" s="25" t="inlineStr">
        <is>
          <t>Bit-exact match (0 selisih)</t>
        </is>
      </c>
    </row>
    <row r="7">
      <c r="A7" s="4" t="inlineStr">
        <is>
          <t>Hash SHA-256 Checksum</t>
        </is>
      </c>
      <c r="B7" s="35" t="inlineStr">
        <is>
          <t>e3b0c44298fc1c149afbf4c8996fb92427ae41e4649b934ca495991b7852b855</t>
        </is>
      </c>
      <c r="C7" s="35" t="inlineStr">
        <is>
          <t>e3b0c44298fc1c149afbf4c8996fb92427ae41e4649b934ca495991b7852b855</t>
        </is>
      </c>
      <c r="D7" s="25" t="inlineStr">
        <is>
          <t>HASH MATCH 100% (INTEGRITAS UTUH)</t>
        </is>
      </c>
    </row>
    <row r="8">
      <c r="A8" s="4" t="inlineStr">
        <is>
          <t>Keterbacaan Dokumen</t>
        </is>
      </c>
      <c r="B8" s="35" t="inlineStr">
        <is>
          <t>Dapat dibuka di Microsoft Word tanpa pesan korup</t>
        </is>
      </c>
      <c r="C8" s="35" t="inlineStr">
        <is>
          <t>Dapat dibuka di Microsoft Word tanpa pesan korup</t>
        </is>
      </c>
      <c r="D8" s="25" t="inlineStr">
        <is>
          <t>Lolos Validasi Aplikasi</t>
        </is>
      </c>
    </row>
    <row r="9">
      <c r="A9" s="4" t="inlineStr">
        <is>
          <t>Tipe Muatan Biner</t>
        </is>
      </c>
      <c r="B9" s="35" t="inlineStr">
        <is>
          <t>type_tag = 0x02 (Binary Document)</t>
        </is>
      </c>
      <c r="C9" s="35" t="inlineStr">
        <is>
          <t>type_tag = 0x02 (Binary Document)</t>
        </is>
      </c>
      <c r="D9" s="25" t="inlineStr">
        <is>
          <t>Mekanisme Parser Sukses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45" customWidth="1" min="4" max="4"/>
    <col width="40" customWidth="1" min="5" max="5"/>
    <col width="16" customWidth="1" min="6" max="6"/>
  </cols>
  <sheetData>
    <row r="1">
      <c r="A1" s="1" t="inlineStr">
        <is>
          <t>DAFTAR UNIT TEST OTOMATIS IMPLEMENTASI KEAMANAN &amp; STEGANOGRAFI</t>
        </is>
      </c>
    </row>
    <row r="2"/>
    <row r="3">
      <c r="A3" s="9" t="inlineStr">
        <is>
          <t>No</t>
        </is>
      </c>
      <c r="B3" s="9" t="inlineStr">
        <is>
          <t>Nama Modul Test</t>
        </is>
      </c>
      <c r="C3" s="9" t="inlineStr">
        <is>
          <t>Fungsi yang Diuji</t>
        </is>
      </c>
      <c r="D3" s="9" t="inlineStr">
        <is>
          <t>Skenario Pengujian</t>
        </is>
      </c>
      <c r="E3" s="9" t="inlineStr">
        <is>
          <t>Hasil yang Diharapkan</t>
        </is>
      </c>
      <c r="F3" s="9" t="inlineStr">
        <is>
          <t>Status Eksekusi</t>
        </is>
      </c>
    </row>
    <row r="4">
      <c r="A4" s="34" t="n">
        <v>1</v>
      </c>
      <c r="B4" s="35" t="inlineStr">
        <is>
          <t>test_step1_step2.py</t>
        </is>
      </c>
      <c r="C4" s="35" t="inlineStr">
        <is>
          <t>AES-256-GCM &amp; PBKDF2</t>
        </is>
      </c>
      <c r="D4" s="35" t="inlineStr">
        <is>
          <t>Enkripsi pesan lalu dekripsi dengan kunci yang sama</t>
        </is>
      </c>
      <c r="E4" s="35" t="inlineStr">
        <is>
          <t>Plaintext kembali utuh 100%</t>
        </is>
      </c>
      <c r="F4" s="25" t="inlineStr">
        <is>
          <t>PASS</t>
        </is>
      </c>
    </row>
    <row r="5">
      <c r="A5" s="34" t="n">
        <v>2</v>
      </c>
      <c r="B5" s="35" t="inlineStr">
        <is>
          <t>test_step1_step2.py</t>
        </is>
      </c>
      <c r="C5" s="35" t="inlineStr">
        <is>
          <t>LSB-PRNG Embedding</t>
        </is>
      </c>
      <c r="D5" s="35" t="inlineStr">
        <is>
          <t>Penyisipan LSB teracak seed stego-key ke citra PNG</t>
        </is>
      </c>
      <c r="E5" s="35" t="inlineStr">
        <is>
          <t>Citra stego terbentuk, LSB berubah +-1</t>
        </is>
      </c>
      <c r="F5" s="25" t="inlineStr">
        <is>
          <t>PASS</t>
        </is>
      </c>
    </row>
    <row r="6">
      <c r="A6" s="34" t="n">
        <v>3</v>
      </c>
      <c r="B6" s="35" t="inlineStr">
        <is>
          <t>test_step1_step2.py</t>
        </is>
      </c>
      <c r="C6" s="35" t="inlineStr">
        <is>
          <t>Key Sensitivity Test</t>
        </is>
      </c>
      <c r="D6" s="35" t="inlineStr">
        <is>
          <t>Percobaan ekstraksi dengan kunci salah (beda 1 karakter)</t>
        </is>
      </c>
      <c r="E6" s="35" t="inlineStr">
        <is>
          <t>Sistem menolak (Header/Tag Mismatch)</t>
        </is>
      </c>
      <c r="F6" s="25" t="inlineStr">
        <is>
          <t>PASS</t>
        </is>
      </c>
    </row>
    <row r="7">
      <c r="A7" s="34" t="n">
        <v>4</v>
      </c>
      <c r="B7" s="35" t="inlineStr">
        <is>
          <t>test_step1_step2.py</t>
        </is>
      </c>
      <c r="C7" s="35" t="inlineStr">
        <is>
          <t>Capacity Limit Guard</t>
        </is>
      </c>
      <c r="D7" s="35" t="inlineStr">
        <is>
          <t>Penyisipan muatan yang melebihi kapasitas maksimum</t>
        </is>
      </c>
      <c r="E7" s="35" t="inlineStr">
        <is>
          <t>ValueError: Kapasitas tidak cukup</t>
        </is>
      </c>
      <c r="F7" s="25" t="inlineStr">
        <is>
          <t>PASS</t>
        </is>
      </c>
    </row>
    <row r="8">
      <c r="A8" s="34" t="n">
        <v>5</v>
      </c>
      <c r="B8" s="35" t="inlineStr">
        <is>
          <t>test_jpeg_fragility.py</t>
        </is>
      </c>
      <c r="C8" s="35" t="inlineStr">
        <is>
          <t>JPEG Fragility Verification</t>
        </is>
      </c>
      <c r="D8" s="35" t="inlineStr">
        <is>
          <t>Ekstraksi citra stego setelah disimpan ulang sebagai JPEG</t>
        </is>
      </c>
      <c r="E8" s="35" t="inlineStr">
        <is>
          <t>Gagal dekripsi / data korup (Fragile)</t>
        </is>
      </c>
      <c r="F8" s="25" t="inlineStr">
        <is>
          <t>PASS</t>
        </is>
      </c>
    </row>
    <row r="9">
      <c r="A9" s="34" t="n">
        <v>6</v>
      </c>
      <c r="B9" s="35" t="inlineStr">
        <is>
          <t>test_file_payload_e2e.py</t>
        </is>
      </c>
      <c r="C9" s="35" t="inlineStr">
        <is>
          <t>Binary File Attachment</t>
        </is>
      </c>
      <c r="D9" s="35" t="inlineStr">
        <is>
          <t>Penyisipan dan ekstraksi berkas dokumen .docx biner</t>
        </is>
      </c>
      <c r="E9" s="35" t="inlineStr">
        <is>
          <t>File terunduh identik dengan aslinya</t>
        </is>
      </c>
      <c r="F9" s="25" t="inlineStr">
        <is>
          <t>PASS</t>
        </is>
      </c>
    </row>
    <row r="10">
      <c r="A10" s="34" t="n">
        <v>7</v>
      </c>
      <c r="B10" s="35" t="inlineStr">
        <is>
          <t>test_steganalysis_enhanced.py</t>
        </is>
      </c>
      <c r="C10" s="35" t="inlineStr">
        <is>
          <t>Chi-Square PoV &amp; Bit-0</t>
        </is>
      </c>
      <c r="D10" s="35" t="inlineStr">
        <is>
          <t>Deteksi anomali pasangan nilai dan ekstraksi bit-0</t>
        </is>
      </c>
      <c r="E10" s="35" t="inlineStr">
        <is>
          <t>Menghasilkan skor x2, df, dan p-value</t>
        </is>
      </c>
      <c r="F10" s="2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2026-09-29T11:02:49Z</dcterms:created>
  <dcterms:modified xmlns:dcterms="http://purl.org/dc/terms/" xmlns:xsi="http://www.w3.org/2001/XMLSchema-instance" xsi:type="dcterms:W3CDTF">2026-09-29T11:02:49Z</dcterms:modified>
</cp:coreProperties>
</file>