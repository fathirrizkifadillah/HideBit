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3001"/>
  <workbookPr defaultThemeVersion="166925"/>
  <mc:AlternateContent xmlns:mc="http://schemas.openxmlformats.org/markup-compatibility/2006">
    <mc:Choice Requires="x15">
      <x15ac:absPath xmlns:x15ac="http://schemas.microsoft.com/office/spreadsheetml/2010/11/ac" url="D:\"/>
    </mc:Choice>
  </mc:AlternateContent>
  <xr:revisionPtr revIDLastSave="0" documentId="13_ncr:1_{BECFF748-3871-42DB-B082-0ABFF75CF0EF}" xr6:coauthVersionLast="45" xr6:coauthVersionMax="45" xr10:uidLastSave="{00000000-0000-0000-0000-000000000000}"/>
  <bookViews>
    <workbookView xWindow="-108" yWindow="-108" windowWidth="23256" windowHeight="12456" activeTab="1" xr2:uid="{E5C43029-2089-4E1F-9D5B-01F8504493AE}"/>
  </bookViews>
  <sheets>
    <sheet name="Informasi Proyek" sheetId="1" r:id="rId1"/>
    <sheet name="Hasil Pengujian" sheetId="2" r:id="rId2"/>
    <sheet name="Steganalisis" sheetId="4" r:id="rId3"/>
    <sheet name="Histogram dan Kapasitas" sheetId="5" r:id="rId4"/>
    <sheet name="Pengayaan Dokumen" sheetId="6" r:id="rId5"/>
    <sheet name="Unit Test" sheetId="7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I19" i="2" l="1"/>
  <c r="J22" i="2"/>
  <c r="I22" i="2"/>
  <c r="J20" i="2"/>
  <c r="J21" i="2"/>
  <c r="J19" i="2"/>
  <c r="I21" i="2"/>
  <c r="I20" i="2"/>
  <c r="K5" i="2"/>
  <c r="K6" i="2"/>
  <c r="K7" i="2"/>
  <c r="K8" i="2"/>
  <c r="K9" i="2"/>
  <c r="K10" i="2"/>
  <c r="K11" i="2"/>
  <c r="K12" i="2"/>
  <c r="K13" i="2"/>
  <c r="K14" i="2"/>
  <c r="K15" i="2"/>
  <c r="K16" i="2"/>
  <c r="K17" i="2"/>
  <c r="K18" i="2"/>
  <c r="K4" i="2"/>
  <c r="H17" i="2"/>
  <c r="H18" i="2"/>
  <c r="H16" i="2"/>
  <c r="H14" i="2"/>
  <c r="H15" i="2"/>
  <c r="H13" i="2"/>
  <c r="H11" i="2"/>
  <c r="H12" i="2"/>
  <c r="H10" i="2"/>
  <c r="H9" i="2"/>
  <c r="H8" i="2"/>
  <c r="H6" i="2"/>
  <c r="H5" i="2"/>
  <c r="H7" i="2"/>
  <c r="H4" i="2"/>
  <c r="H12" i="5"/>
  <c r="H13" i="5"/>
  <c r="H14" i="5"/>
  <c r="H15" i="5"/>
  <c r="H11" i="5"/>
  <c r="D5" i="5"/>
  <c r="D6" i="5"/>
  <c r="D4" i="5"/>
</calcChain>
</file>

<file path=xl/sharedStrings.xml><?xml version="1.0" encoding="utf-8"?>
<sst xmlns="http://schemas.openxmlformats.org/spreadsheetml/2006/main" count="312" uniqueCount="221">
  <si>
    <t>LAPORAN DATA PENGUJIAN APLIKASI HIDEBIT (STEGANOGRAFI LSB-PRNG)</t>
  </si>
  <si>
    <t>Mata Kuliah: Keamanan Informasi | Dosen Pengampu: Ir. Alam Rahmatulloh, S.T., M.T., MCE., IPM.</t>
  </si>
  <si>
    <t>PARAMETER</t>
  </si>
  <si>
    <t>KETERANGAN DETAIL</t>
  </si>
  <si>
    <t>Judul Proyek</t>
  </si>
  <si>
    <t>HideBit: Steganografi Citra Digital LSB-PRNG dengan Enkripsi AES-256-GCM</t>
  </si>
  <si>
    <t>Topik</t>
  </si>
  <si>
    <t>Topik B (Aplikasi Steganografi Citra Digital)</t>
  </si>
  <si>
    <t>Institusi</t>
  </si>
  <si>
    <t>Program Studi Informatika, Fakultas Teknik, Universitas Siliwangi (2026)</t>
  </si>
  <si>
    <t>Anggota Kelompok</t>
  </si>
  <si>
    <t>1. Fathir Rizki Fadillah (247006111129)
2. Aria Muhammad Fahlevi (247006111131)
3. Moh Raya Alfareza Alban (247006111133)</t>
  </si>
  <si>
    <t>Tautan Repositori GitHub</t>
  </si>
  <si>
    <t>https://github.com/fathirrizkifadillah/HideBit</t>
  </si>
  <si>
    <t>Tautan Aplikasi Live</t>
  </si>
  <si>
    <t>https://hidebit.onrender.com</t>
  </si>
  <si>
    <t>Tautan Video Demo</t>
  </si>
  <si>
    <t>(Menyusul / Tautan YouTube Unlisted)</t>
  </si>
  <si>
    <t>Deskripsi Berkas</t>
  </si>
  <si>
    <t>Buku kerja XLSX ini memuat rekaman kuantitatif pengujian fidelitas visual (PSNR/MSE), sensitivitas kunci, uji kerapuhan JPEG, analisis forensik Chi-Square PoV &amp; Bit-0 plane, serta pengujian berkas dokumen biner.</t>
  </si>
  <si>
    <t>DAFTAR SHEET</t>
  </si>
  <si>
    <t>DESKRIPSI KONTEN</t>
  </si>
  <si>
    <t>PSNR_MSE</t>
  </si>
  <si>
    <t>Tabel 5.1: Hasil uji kualitas citra (5 citra x 3 variasi muatan) lengkap dengan rumus AVERAGE</t>
  </si>
  <si>
    <t>Sensitivitas_Key</t>
  </si>
  <si>
    <t>Tabel 5.2: Uji avalanche effect kunci stego acak (kunci benar vs kunci salah)</t>
  </si>
  <si>
    <t>JPEG_Fragility</t>
  </si>
  <si>
    <t>Tabel 5.3: Pengujian kerapuhan format terhadap kompresi lossy JPEG (Q90, Q75, Q50)</t>
  </si>
  <si>
    <t>Steganalisis</t>
  </si>
  <si>
    <t>Pengujian statistik Chi-Square PoV kanal RGB, Suspicion Score, dan piksel termodifikasi</t>
  </si>
  <si>
    <t>Histogram</t>
  </si>
  <si>
    <t>Komparasi statistik distribusi frekuensi nilai warna (Mean &amp; Variance) cover vs stego</t>
  </si>
  <si>
    <t>Kapasitas</t>
  </si>
  <si>
    <t>Spesifikasi kapasitas bit LSB tiap citra dan pengujian penolakan muatan berlebih</t>
  </si>
  <si>
    <t>Pengayaan_Dokumen</t>
  </si>
  <si>
    <t>Bukti integritas penyisipan dokumen Microsoft Word (.docx) dengan verifikasi SHA-256</t>
  </si>
  <si>
    <t>Unit_Test</t>
  </si>
  <si>
    <t>Daftar 7 unit test otomatis fungsi inti sistem beserta status eksekusi (Pass/Fail)</t>
  </si>
  <si>
    <t>TABEL 5.1: HASIL PENGUJIAN KUALITAS CITRA (PSNR DAN MSE PADA 5 CITRA x 3 UKURAN PESAN)</t>
  </si>
  <si>
    <t>No</t>
  </si>
  <si>
    <t>Nama Berkas Citra</t>
  </si>
  <si>
    <t>Resolusi (px)</t>
  </si>
  <si>
    <t>Total Piksel</t>
  </si>
  <si>
    <t>Kapasitas Maks (Bytes)</t>
  </si>
  <si>
    <t>Jenis &amp; Ukuran Muatan</t>
  </si>
  <si>
    <t>Ukuran Payload (Bytes)</t>
  </si>
  <si>
    <t>Kapasitas Terpakai (%)</t>
  </si>
  <si>
    <t>Nilai MSE</t>
  </si>
  <si>
    <t>Kualitas PSNR (dB)</t>
  </si>
  <si>
    <t>Kepatuhan (&gt;= 30 dB)</t>
  </si>
  <si>
    <t>Status Ekstraksi</t>
  </si>
  <si>
    <t>Mount-Everest.png</t>
  </si>
  <si>
    <t>1280 x 890</t>
  </si>
  <si>
    <t>Kecil: Teks String (14 chars)</t>
  </si>
  <si>
    <t>Berhasil</t>
  </si>
  <si>
    <t>Sedang: Dokumen Word (.docx)</t>
  </si>
  <si>
    <t>Besar: Foto Biner (.jpg)</t>
  </si>
  <si>
    <t>Naruto_Uzumaki.png</t>
  </si>
  <si>
    <t>360 x 545</t>
  </si>
  <si>
    <t>logo_MU.png</t>
  </si>
  <si>
    <t>1263 x 1280</t>
  </si>
  <si>
    <t>GPU.jpg</t>
  </si>
  <si>
    <t>1024 x 576</t>
  </si>
  <si>
    <t>foto_rumah.png</t>
  </si>
  <si>
    <t>960 x 1280</t>
  </si>
  <si>
    <t>RATA-RATA MUATAN KECIL (TEKS 60 B)</t>
  </si>
  <si>
    <t>100% Lolos</t>
  </si>
  <si>
    <t>100% Berhasil</t>
  </si>
  <si>
    <t>RATA-RATA MUATAN SEDANG (DOCX 14.9 KB)</t>
  </si>
  <si>
    <t>RATA-RATA MUATAN BESAR (FOTO 66.2 KB)</t>
  </si>
  <si>
    <t>RATA-RATA KESELURUHAN (15 PERCOBAAN)</t>
  </si>
  <si>
    <t>TABEL 5.2: HASIL PENGUJIAN SENSITIVITAS STEGO-KEY (AVALANCHE EFFECT)</t>
  </si>
  <si>
    <t>Stego-Key yang Diuji</t>
  </si>
  <si>
    <t>Karakteristik Pengujian Kunci</t>
  </si>
  <si>
    <t>Respon Sistem</t>
  </si>
  <si>
    <t>Status Autentikasi</t>
  </si>
  <si>
    <t>Hasil Ekstraksi Pesan</t>
  </si>
  <si>
    <t>YLPC2#?qDxJu=b#y9gN2</t>
  </si>
  <si>
    <t>Kunci Asli Hasil Pembangkitan Acak (Generate)</t>
  </si>
  <si>
    <t>Diterima (Otentik)</t>
  </si>
  <si>
    <t>Lolos Verifikasi Tag</t>
  </si>
  <si>
    <t>Pesan terdekripsi sempurna (100% Utuh)</t>
  </si>
  <si>
    <t>YLPC2#?qDxJu=b#y9gN1</t>
  </si>
  <si>
    <t>Ubah 1 karakter terakhir ('2' -&gt; '1')</t>
  </si>
  <si>
    <t>Ditolak Sistem (Header Mismatch)</t>
  </si>
  <si>
    <t>Gagal Verifikasi</t>
  </si>
  <si>
    <t>Ekstraksi Gagal (Derau Acak)</t>
  </si>
  <si>
    <t>YLPC2#?qDxJu=b#y9gN</t>
  </si>
  <si>
    <t>Hapus 1 karakter terakhir</t>
  </si>
  <si>
    <t>yLPC2#?qDxJu=b#y9gN2</t>
  </si>
  <si>
    <t>Ubah huruf kapital awal ('Y' -&gt; 'y')</t>
  </si>
  <si>
    <t>TABEL 5.3: HASIL PENGUJIAN UJI KERAPUHAN CITRA (JPEG FRAGILITY TEST)</t>
  </si>
  <si>
    <t>Format &amp; Kondisi Citra</t>
  </si>
  <si>
    <t>Kualitas Citra</t>
  </si>
  <si>
    <t>Validitas Magic Header (HBIT)</t>
  </si>
  <si>
    <t>Integritas Tag Otentikasi GCM</t>
  </si>
  <si>
    <t>Status Ekstraksi Pesan</t>
  </si>
  <si>
    <t>Keterangan Ilmiah</t>
  </si>
  <si>
    <t>PNG Stego Asli (Lossless)</t>
  </si>
  <si>
    <t>Asli (100%)</t>
  </si>
  <si>
    <t>Valid (Ditemukan)</t>
  </si>
  <si>
    <t>Valid (Cocok)</t>
  </si>
  <si>
    <t>Berhasil (100% Utuh)</t>
  </si>
  <si>
    <t>Bit spasial LSB utuh tanpa ada kuantisasi frekuensi</t>
  </si>
  <si>
    <t>Disimpan ulang sebagai JPEG</t>
  </si>
  <si>
    <t>Kualitas Tinggi (Q90)</t>
  </si>
  <si>
    <t>Invalid (Rusak)</t>
  </si>
  <si>
    <t>Gagal Terverifikasi</t>
  </si>
  <si>
    <t>Ditolak Sistem (Corrupted)</t>
  </si>
  <si>
    <t>Kuantisasi koefisien DCT frekuensi tinggi memodifikasi piksel spasial</t>
  </si>
  <si>
    <t>Kualitas Standar (Q75)</t>
  </si>
  <si>
    <t>Kompresi lossy standar merusak permanen seluruh koordinat LSB PRNG</t>
  </si>
  <si>
    <t>Kualitas Rendah (Q50)</t>
  </si>
  <si>
    <t>Kuantisasi agresif mengubah nilai piksel secara drastis, LSB hancur total</t>
  </si>
  <si>
    <t>HASIL EVALUASI FORENSIK STEGANALISIS (CHI-SQUARE POV &amp; BIT-0 PLANE)</t>
  </si>
  <si>
    <t>RINGKASAN SKOR KECURIGAAN &amp; DETEKSI DIFERENSIAL (Mount-Everest.png)</t>
  </si>
  <si>
    <t>Citra Uji Stego</t>
  </si>
  <si>
    <t>hidebit-Mount-Everest.png (1280 x 890 px)</t>
  </si>
  <si>
    <t>Citra Referensi Cover</t>
  </si>
  <si>
    <t>Mount-Everest.png (1280 x 890 px)</t>
  </si>
  <si>
    <t>Heuristic Suspicion Score</t>
  </si>
  <si>
    <t>67.21 / 100 (Kategori: Kecurigaan Tinggi / Terbukti Stego)</t>
  </si>
  <si>
    <t>Total Piksel Citra</t>
  </si>
  <si>
    <t>1,139,200 piksel</t>
  </si>
  <si>
    <t>Piksel Termodifikasi (LSB)</t>
  </si>
  <si>
    <t>250,039 piksel (21.9486%)</t>
  </si>
  <si>
    <t>Piksel Identik (Unchanged)</t>
  </si>
  <si>
    <t>889,161 piksel (78.0514%)</t>
  </si>
  <si>
    <t>Maksimum Deviasi Nilai Piksel</t>
  </si>
  <si>
    <t>+-1 / 255 (0.39%)</t>
  </si>
  <si>
    <t>Vonis Analisis Diferensial</t>
  </si>
  <si>
    <t>MODIFIKASI LSB TERBUKTI (DUAL COMPARISON MATCH)</t>
  </si>
  <si>
    <t>PROFIL STATISTIK PASANGAN NILAI (PoV) WESTFELD (1999)</t>
  </si>
  <si>
    <t>Kanal Warna</t>
  </si>
  <si>
    <t>Nilai Chi-Square (x2)</t>
  </si>
  <si>
    <t>Degrees of Freedom (df)</t>
  </si>
  <si>
    <t>P-Value Teoretis</t>
  </si>
  <si>
    <t>Kesetimbangan PoV (%)</t>
  </si>
  <si>
    <t>Status Indikasi Kanal</t>
  </si>
  <si>
    <t>Red (Merah)</t>
  </si>
  <si>
    <t>&lt; 0.0001</t>
  </si>
  <si>
    <t>ANOMALI TERDETEKSI</t>
  </si>
  <si>
    <t>Green (Hijau)</t>
  </si>
  <si>
    <t>Blue (Biru)</t>
  </si>
  <si>
    <t>KOMPARASI DISTRIBUSI HISTOGRAM WARNA COVER VS STEGO</t>
  </si>
  <si>
    <t>Mean Citra Cover</t>
  </si>
  <si>
    <t>Mean Citra Stego</t>
  </si>
  <si>
    <t>Delta Mean (Deviasi)</t>
  </si>
  <si>
    <t>Variance Cover</t>
  </si>
  <si>
    <t>Variance Stego</t>
  </si>
  <si>
    <t>Status Visual</t>
  </si>
  <si>
    <t>Red (R)</t>
  </si>
  <si>
    <t>Identik Kasat Mata</t>
  </si>
  <si>
    <t>Green (G)</t>
  </si>
  <si>
    <t>Blue (B)</t>
  </si>
  <si>
    <t>EVALUASI KAPASITAS PENYIMPANAN MAKSIMUM &amp; PENGUJIAN PENOLAKAN MUATAN</t>
  </si>
  <si>
    <t>Nama Citra</t>
  </si>
  <si>
    <t>Total Slot Bit LSB</t>
  </si>
  <si>
    <t>Header Biner (Bytes)</t>
  </si>
  <si>
    <t>Kapasitas Maks (KB)</t>
  </si>
  <si>
    <t>Uji Muatan Berlebih (100 KB)</t>
  </si>
  <si>
    <t>Muat (Payload &lt; Max)</t>
  </si>
  <si>
    <t>Diterima &amp; Disisipkan</t>
  </si>
  <si>
    <t>LEBIH KAPASITAS (100 KB &gt; 71.8 KB)</t>
  </si>
  <si>
    <t>DITOLAK OTOMATIS (Capacity Exceeded)</t>
  </si>
  <si>
    <t>PENGUJIAN FITUR PENGAYAAN: PENYISIPAN &amp; EKSTRAKSI BERKAS DOKUMEN ARBITRER</t>
  </si>
  <si>
    <t>Parameter Pengujian</t>
  </si>
  <si>
    <t>Berkas Dokumen Asli (Sebelum Disisipkan)</t>
  </si>
  <si>
    <t>Berkas Dokumen Hasil Ekstraksi (Reveal)</t>
  </si>
  <si>
    <t>Status Kesesuaian (Integritas)</t>
  </si>
  <si>
    <t>Nama Berkas</t>
  </si>
  <si>
    <t>Identik 100%</t>
  </si>
  <si>
    <t>Format Berkas</t>
  </si>
  <si>
    <t>Microsoft Word Document (Biner Terkompresi)</t>
  </si>
  <si>
    <t>Format Terjaga Sempurna</t>
  </si>
  <si>
    <t>Ukuran Berkas</t>
  </si>
  <si>
    <t>Bit-exact match (0 selisih)</t>
  </si>
  <si>
    <t>Hash SHA-256 Checksum</t>
  </si>
  <si>
    <t>HASH MATCH 100% (INTEGRITAS UTUH)</t>
  </si>
  <si>
    <t>Keterbacaan Dokumen</t>
  </si>
  <si>
    <t>Dapat dibuka di Microsoft Word tanpa pesan korup</t>
  </si>
  <si>
    <t>Lolos Validasi Aplikasi</t>
  </si>
  <si>
    <t>Tipe Muatan Biner</t>
  </si>
  <si>
    <t>type_tag = 0x02 (Binary Document)</t>
  </si>
  <si>
    <t>Mekanisme Parser Sukses</t>
  </si>
  <si>
    <t>DAFTAR UNIT TEST OTOMATIS IMPLEMENTASI KEAMANAN &amp; STEGANOGRAFI</t>
  </si>
  <si>
    <t>Nama Modul Test</t>
  </si>
  <si>
    <t>Fungsi yang Diuji</t>
  </si>
  <si>
    <t>Skenario Pengujian</t>
  </si>
  <si>
    <t>Hasil yang Diharapkan</t>
  </si>
  <si>
    <t>Status Eksekusi</t>
  </si>
  <si>
    <t>test_step1_step2.py</t>
  </si>
  <si>
    <t>AES-256-GCM &amp; PBKDF2</t>
  </si>
  <si>
    <t>Enkripsi pesan lalu dekripsi dengan kunci yang sama</t>
  </si>
  <si>
    <t>Plaintext kembali utuh 100%</t>
  </si>
  <si>
    <t>PASS</t>
  </si>
  <si>
    <t>LSB-PRNG Embedding</t>
  </si>
  <si>
    <t>Penyisipan LSB teracak seed stego-key ke citra PNG</t>
  </si>
  <si>
    <t>Citra stego terbentuk, LSB berubah +-1</t>
  </si>
  <si>
    <t>Key Sensitivity Test</t>
  </si>
  <si>
    <t>Percobaan ekstraksi dengan kunci salah (beda 1 karakter)</t>
  </si>
  <si>
    <t>Sistem menolak (Header/Tag Mismatch)</t>
  </si>
  <si>
    <t>Capacity Limit Guard</t>
  </si>
  <si>
    <t>Penyisipan muatan yang melebihi kapasitas maksimum</t>
  </si>
  <si>
    <t>ValueError: Kapasitas tidak cukup</t>
  </si>
  <si>
    <t>test_jpeg_fragility.py</t>
  </si>
  <si>
    <t>JPEG Fragility Verification</t>
  </si>
  <si>
    <t>Ekstraksi citra stego setelah disimpan ulang sebagai JPEG</t>
  </si>
  <si>
    <t>Gagal dekripsi / data korup (Fragile)</t>
  </si>
  <si>
    <t>test_file_payload_e2e.py</t>
  </si>
  <si>
    <t>Binary File Attachment</t>
  </si>
  <si>
    <t>Penyisipan dan ekstraksi berkas dokumen .docx biner</t>
  </si>
  <si>
    <t>File terunduh identik dengan aslinya</t>
  </si>
  <si>
    <t>test_steganalysis_enhanced.py</t>
  </si>
  <si>
    <t>Chi-Square PoV &amp; Bit-0</t>
  </si>
  <si>
    <t>Deteksi anomali pasangan nilai dan ekstraksi bit-0</t>
  </si>
  <si>
    <t>Menghasilkan skor x2, df, dan p-value</t>
  </si>
  <si>
    <t>file_testing.docx</t>
  </si>
  <si>
    <t xml:space="preserve">	14,9 KB (15.268 Bytes)</t>
  </si>
  <si>
    <t>14,9 KB (15.268 Bytes)</t>
  </si>
  <si>
    <t>77dc25aa5c2b7ea92e391577655d9800ac83359bfb16029396ca33b5263f9e92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</si>
</sst>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8" formatCode="0.000%"/>
    <numFmt numFmtId="169" formatCode="0.000000"/>
    <numFmt numFmtId="170" formatCode="0.000"/>
  </numFmts>
  <fonts count="6" x14ac:knownFonts="1">
    <font>
      <sz val="11"/>
      <color theme="1"/>
      <name val="Calibri"/>
      <family val="2"/>
      <scheme val="minor"/>
    </font>
    <font>
      <b/>
      <sz val="14"/>
      <color rgb="FF1F497D"/>
      <name val="Calibri"/>
    </font>
    <font>
      <i/>
      <sz val="11"/>
      <color rgb="FF595959"/>
      <name val="Calibri"/>
    </font>
    <font>
      <b/>
      <sz val="11"/>
      <color rgb="FFFFFFFF"/>
      <name val="Calibri"/>
    </font>
    <font>
      <b/>
      <sz val="10"/>
      <name val="Calibri"/>
    </font>
    <font>
      <sz val="10"/>
      <name val="Calibri"/>
    </font>
  </fonts>
  <fills count="8">
    <fill>
      <patternFill patternType="none"/>
    </fill>
    <fill>
      <patternFill patternType="gray125"/>
    </fill>
    <fill>
      <patternFill patternType="solid">
        <fgColor rgb="FF1F497D"/>
        <bgColor rgb="FF1F497D"/>
      </patternFill>
    </fill>
    <fill>
      <patternFill patternType="solid">
        <fgColor rgb="FF2E75B6"/>
        <bgColor rgb="FF2E75B6"/>
      </patternFill>
    </fill>
    <fill>
      <patternFill patternType="solid">
        <fgColor rgb="FFE2EFDA"/>
        <bgColor rgb="FFE2EFDA"/>
      </patternFill>
    </fill>
    <fill>
      <patternFill patternType="solid">
        <fgColor rgb="FFF2F2F2"/>
        <bgColor rgb="FFF2F2F2"/>
      </patternFill>
    </fill>
    <fill>
      <patternFill patternType="solid">
        <fgColor rgb="FFDDEBF7"/>
        <bgColor rgb="FFDDEBF7"/>
      </patternFill>
    </fill>
    <fill>
      <patternFill patternType="solid">
        <fgColor rgb="FFFCE4D6"/>
        <bgColor rgb="FFFCE4D6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56">
    <xf numFmtId="0" fontId="0" fillId="0" borderId="0" xfId="0"/>
    <xf numFmtId="0" fontId="1" fillId="0" borderId="0" xfId="0" applyFont="1" applyAlignment="1">
      <alignment horizontal="center"/>
    </xf>
    <xf numFmtId="0" fontId="2" fillId="0" borderId="0" xfId="0" applyFont="1" applyAlignment="1">
      <alignment horizontal="center"/>
    </xf>
    <xf numFmtId="0" fontId="3" fillId="2" borderId="1" xfId="0" applyFont="1" applyFill="1" applyBorder="1"/>
    <xf numFmtId="0" fontId="4" fillId="0" borderId="1" xfId="0" applyFont="1" applyBorder="1" applyAlignment="1">
      <alignment horizontal="left" vertical="center"/>
    </xf>
    <xf numFmtId="0" fontId="5" fillId="0" borderId="1" xfId="0" applyFont="1" applyBorder="1" applyAlignment="1">
      <alignment horizontal="left" vertical="center" wrapText="1"/>
    </xf>
    <xf numFmtId="0" fontId="3" fillId="3" borderId="1" xfId="0" applyFont="1" applyFill="1" applyBorder="1"/>
    <xf numFmtId="0" fontId="4" fillId="0" borderId="1" xfId="0" applyFont="1" applyBorder="1"/>
    <xf numFmtId="0" fontId="5" fillId="0" borderId="1" xfId="0" applyFont="1" applyBorder="1"/>
    <xf numFmtId="0" fontId="0" fillId="0" borderId="0" xfId="0"/>
    <xf numFmtId="0" fontId="3" fillId="2" borderId="1" xfId="0" applyFont="1" applyFill="1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0" fillId="5" borderId="1" xfId="0" applyFill="1" applyBorder="1" applyAlignment="1">
      <alignment horizontal="left" vertical="center"/>
    </xf>
    <xf numFmtId="3" fontId="0" fillId="5" borderId="1" xfId="0" applyNumberFormat="1" applyFill="1" applyBorder="1" applyAlignment="1">
      <alignment horizontal="right" vertical="center"/>
    </xf>
    <xf numFmtId="168" fontId="0" fillId="5" borderId="1" xfId="0" applyNumberFormat="1" applyFill="1" applyBorder="1" applyAlignment="1">
      <alignment horizontal="right" vertical="center"/>
    </xf>
    <xf numFmtId="169" fontId="0" fillId="5" borderId="1" xfId="0" applyNumberFormat="1" applyFill="1" applyBorder="1" applyAlignment="1">
      <alignment horizontal="right" vertical="center"/>
    </xf>
    <xf numFmtId="2" fontId="0" fillId="5" borderId="1" xfId="0" applyNumberFormat="1" applyFill="1" applyBorder="1" applyAlignment="1">
      <alignment horizontal="right" vertical="center"/>
    </xf>
    <xf numFmtId="0" fontId="4" fillId="5" borderId="1" xfId="0" applyFont="1" applyFill="1" applyBorder="1" applyAlignment="1">
      <alignment horizontal="center" vertical="center"/>
    </xf>
    <xf numFmtId="0" fontId="0" fillId="5" borderId="1" xfId="0" applyFill="1" applyBorder="1" applyAlignment="1">
      <alignment horizontal="right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left" vertical="center"/>
    </xf>
    <xf numFmtId="0" fontId="0" fillId="0" borderId="1" xfId="0" applyBorder="1" applyAlignment="1">
      <alignment horizontal="right" vertical="center"/>
    </xf>
    <xf numFmtId="3" fontId="0" fillId="0" borderId="1" xfId="0" applyNumberFormat="1" applyBorder="1" applyAlignment="1">
      <alignment horizontal="right" vertical="center"/>
    </xf>
    <xf numFmtId="169" fontId="0" fillId="0" borderId="1" xfId="0" applyNumberFormat="1" applyBorder="1" applyAlignment="1">
      <alignment horizontal="right" vertical="center"/>
    </xf>
    <xf numFmtId="2" fontId="0" fillId="0" borderId="1" xfId="0" applyNumberFormat="1" applyBorder="1" applyAlignment="1">
      <alignment horizontal="right" vertical="center"/>
    </xf>
    <xf numFmtId="0" fontId="4" fillId="4" borderId="1" xfId="0" applyFont="1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4" fillId="6" borderId="1" xfId="0" applyFont="1" applyFill="1" applyBorder="1" applyAlignment="1">
      <alignment horizontal="right" vertical="center"/>
    </xf>
    <xf numFmtId="0" fontId="0" fillId="0" borderId="1" xfId="0" applyBorder="1"/>
    <xf numFmtId="169" fontId="4" fillId="6" borderId="1" xfId="0" applyNumberFormat="1" applyFont="1" applyFill="1" applyBorder="1" applyAlignment="1">
      <alignment horizontal="right" vertical="center"/>
    </xf>
    <xf numFmtId="0" fontId="4" fillId="6" borderId="1" xfId="0" applyFont="1" applyFill="1" applyBorder="1" applyAlignment="1">
      <alignment horizontal="center" vertical="center"/>
    </xf>
    <xf numFmtId="0" fontId="1" fillId="0" borderId="0" xfId="0" applyFont="1" applyAlignment="1">
      <alignment horizontal="left"/>
    </xf>
    <xf numFmtId="0" fontId="5" fillId="4" borderId="1" xfId="0" applyFont="1" applyFill="1" applyBorder="1" applyAlignment="1">
      <alignment horizontal="center" vertical="center"/>
    </xf>
    <xf numFmtId="0" fontId="5" fillId="4" borderId="1" xfId="0" applyFont="1" applyFill="1" applyBorder="1" applyAlignment="1">
      <alignment horizontal="left" vertical="center"/>
    </xf>
    <xf numFmtId="0" fontId="5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horizontal="left" vertical="center"/>
    </xf>
    <xf numFmtId="0" fontId="5" fillId="7" borderId="1" xfId="0" applyFont="1" applyFill="1" applyBorder="1" applyAlignment="1">
      <alignment horizontal="center" vertical="center"/>
    </xf>
    <xf numFmtId="0" fontId="5" fillId="7" borderId="1" xfId="0" applyFont="1" applyFill="1" applyBorder="1" applyAlignment="1">
      <alignment horizontal="left" vertical="center"/>
    </xf>
    <xf numFmtId="0" fontId="0" fillId="0" borderId="0" xfId="0"/>
    <xf numFmtId="0" fontId="1" fillId="0" borderId="0" xfId="0" applyFont="1" applyAlignment="1"/>
    <xf numFmtId="0" fontId="3" fillId="2" borderId="1" xfId="0" applyFont="1" applyFill="1" applyBorder="1" applyAlignment="1">
      <alignment horizontal="center" vertical="center"/>
    </xf>
    <xf numFmtId="0" fontId="5" fillId="4" borderId="1" xfId="0" applyFont="1" applyFill="1" applyBorder="1" applyAlignment="1">
      <alignment horizontal="center" vertical="center"/>
    </xf>
    <xf numFmtId="0" fontId="5" fillId="7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3" fillId="3" borderId="1" xfId="0" applyFont="1" applyFill="1" applyBorder="1"/>
    <xf numFmtId="0" fontId="5" fillId="0" borderId="1" xfId="0" applyFont="1" applyBorder="1"/>
    <xf numFmtId="0" fontId="3" fillId="2" borderId="1" xfId="0" applyFont="1" applyFill="1" applyBorder="1"/>
    <xf numFmtId="0" fontId="3" fillId="3" borderId="1" xfId="0" applyFont="1" applyFill="1" applyBorder="1" applyAlignment="1">
      <alignment horizontal="center" vertical="center"/>
    </xf>
    <xf numFmtId="4" fontId="5" fillId="0" borderId="1" xfId="0" applyNumberFormat="1" applyFont="1" applyBorder="1" applyAlignment="1">
      <alignment horizontal="right" vertical="center"/>
    </xf>
    <xf numFmtId="10" fontId="5" fillId="0" borderId="1" xfId="0" applyNumberFormat="1" applyFont="1" applyBorder="1" applyAlignment="1">
      <alignment horizontal="right" vertical="center"/>
    </xf>
    <xf numFmtId="0" fontId="4" fillId="7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horizontal="right" vertical="center"/>
    </xf>
    <xf numFmtId="0" fontId="0" fillId="0" borderId="0" xfId="0"/>
    <xf numFmtId="3" fontId="5" fillId="0" borderId="1" xfId="0" applyNumberFormat="1" applyFont="1" applyBorder="1" applyAlignment="1">
      <alignment horizontal="right" vertical="center"/>
    </xf>
    <xf numFmtId="2" fontId="5" fillId="0" borderId="1" xfId="0" applyNumberFormat="1" applyFont="1" applyBorder="1" applyAlignment="1">
      <alignment horizontal="right" vertical="center"/>
    </xf>
    <xf numFmtId="170" fontId="5" fillId="0" borderId="1" xfId="0" applyNumberFormat="1" applyFont="1" applyBorder="1" applyAlignment="1">
      <alignment horizontal="right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279274-4F3B-4DCE-B7EB-C27931B6D595}">
  <dimension ref="A1:B22"/>
  <sheetViews>
    <sheetView workbookViewId="0">
      <selection activeCell="B12" sqref="B12"/>
    </sheetView>
  </sheetViews>
  <sheetFormatPr defaultRowHeight="14.4" x14ac:dyDescent="0.3"/>
  <cols>
    <col min="1" max="1" width="21.109375" bestFit="1" customWidth="1"/>
    <col min="2" max="2" width="73.88671875" bestFit="1" customWidth="1"/>
  </cols>
  <sheetData>
    <row r="1" spans="1:2" ht="18" x14ac:dyDescent="0.35">
      <c r="A1" s="1" t="s">
        <v>0</v>
      </c>
      <c r="B1" s="1"/>
    </row>
    <row r="2" spans="1:2" x14ac:dyDescent="0.3">
      <c r="A2" s="2" t="s">
        <v>1</v>
      </c>
      <c r="B2" s="2"/>
    </row>
    <row r="4" spans="1:2" x14ac:dyDescent="0.3">
      <c r="A4" s="3" t="s">
        <v>2</v>
      </c>
      <c r="B4" s="3" t="s">
        <v>3</v>
      </c>
    </row>
    <row r="5" spans="1:2" x14ac:dyDescent="0.3">
      <c r="A5" s="4" t="s">
        <v>4</v>
      </c>
      <c r="B5" s="5" t="s">
        <v>5</v>
      </c>
    </row>
    <row r="6" spans="1:2" x14ac:dyDescent="0.3">
      <c r="A6" s="4" t="s">
        <v>6</v>
      </c>
      <c r="B6" s="5" t="s">
        <v>7</v>
      </c>
    </row>
    <row r="7" spans="1:2" x14ac:dyDescent="0.3">
      <c r="A7" s="4" t="s">
        <v>8</v>
      </c>
      <c r="B7" s="5" t="s">
        <v>9</v>
      </c>
    </row>
    <row r="8" spans="1:2" ht="41.4" x14ac:dyDescent="0.3">
      <c r="A8" s="4" t="s">
        <v>10</v>
      </c>
      <c r="B8" s="5" t="s">
        <v>11</v>
      </c>
    </row>
    <row r="9" spans="1:2" x14ac:dyDescent="0.3">
      <c r="A9" s="4" t="s">
        <v>12</v>
      </c>
      <c r="B9" s="5" t="s">
        <v>13</v>
      </c>
    </row>
    <row r="10" spans="1:2" x14ac:dyDescent="0.3">
      <c r="A10" s="4" t="s">
        <v>14</v>
      </c>
      <c r="B10" s="5" t="s">
        <v>15</v>
      </c>
    </row>
    <row r="11" spans="1:2" x14ac:dyDescent="0.3">
      <c r="A11" s="4" t="s">
        <v>16</v>
      </c>
      <c r="B11" s="5" t="s">
        <v>17</v>
      </c>
    </row>
    <row r="12" spans="1:2" ht="41.4" x14ac:dyDescent="0.3">
      <c r="A12" s="4" t="s">
        <v>18</v>
      </c>
      <c r="B12" s="5" t="s">
        <v>19</v>
      </c>
    </row>
    <row r="14" spans="1:2" x14ac:dyDescent="0.3">
      <c r="A14" s="6" t="s">
        <v>20</v>
      </c>
      <c r="B14" s="6" t="s">
        <v>21</v>
      </c>
    </row>
    <row r="15" spans="1:2" x14ac:dyDescent="0.3">
      <c r="A15" s="7" t="s">
        <v>22</v>
      </c>
      <c r="B15" s="8" t="s">
        <v>23</v>
      </c>
    </row>
    <row r="16" spans="1:2" x14ac:dyDescent="0.3">
      <c r="A16" s="7" t="s">
        <v>24</v>
      </c>
      <c r="B16" s="8" t="s">
        <v>25</v>
      </c>
    </row>
    <row r="17" spans="1:2" x14ac:dyDescent="0.3">
      <c r="A17" s="7" t="s">
        <v>26</v>
      </c>
      <c r="B17" s="8" t="s">
        <v>27</v>
      </c>
    </row>
    <row r="18" spans="1:2" x14ac:dyDescent="0.3">
      <c r="A18" s="7" t="s">
        <v>28</v>
      </c>
      <c r="B18" s="8" t="s">
        <v>29</v>
      </c>
    </row>
    <row r="19" spans="1:2" x14ac:dyDescent="0.3">
      <c r="A19" s="7" t="s">
        <v>30</v>
      </c>
      <c r="B19" s="8" t="s">
        <v>31</v>
      </c>
    </row>
    <row r="20" spans="1:2" x14ac:dyDescent="0.3">
      <c r="A20" s="7" t="s">
        <v>32</v>
      </c>
      <c r="B20" s="8" t="s">
        <v>33</v>
      </c>
    </row>
    <row r="21" spans="1:2" x14ac:dyDescent="0.3">
      <c r="A21" s="7" t="s">
        <v>34</v>
      </c>
      <c r="B21" s="8" t="s">
        <v>35</v>
      </c>
    </row>
    <row r="22" spans="1:2" x14ac:dyDescent="0.3">
      <c r="A22" s="7" t="s">
        <v>36</v>
      </c>
      <c r="B22" s="8" t="s">
        <v>37</v>
      </c>
    </row>
  </sheetData>
  <mergeCells count="2">
    <mergeCell ref="A1:B1"/>
    <mergeCell ref="A2:B2"/>
  </mergeCells>
  <pageMargins left="0.7" right="0.7" top="0.75" bottom="0.75" header="0.3" footer="0.3"/>
  <pageSetup paperSize="9" orientation="portrait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8E03CE-425A-4C88-9877-F06D669375E7}">
  <dimension ref="A1:L38"/>
  <sheetViews>
    <sheetView tabSelected="1" workbookViewId="0">
      <selection activeCell="I24" sqref="I24"/>
    </sheetView>
  </sheetViews>
  <sheetFormatPr defaultRowHeight="14.4" x14ac:dyDescent="0.3"/>
  <cols>
    <col min="1" max="1" width="3.44140625" bestFit="1" customWidth="1"/>
    <col min="2" max="2" width="18.44140625" bestFit="1" customWidth="1"/>
    <col min="3" max="3" width="11.5546875" bestFit="1" customWidth="1"/>
    <col min="4" max="4" width="10.44140625" bestFit="1" customWidth="1"/>
    <col min="5" max="5" width="20.44140625" bestFit="1" customWidth="1"/>
    <col min="6" max="6" width="27" bestFit="1" customWidth="1"/>
    <col min="7" max="7" width="21" bestFit="1" customWidth="1"/>
    <col min="8" max="8" width="20" bestFit="1" customWidth="1"/>
    <col min="10" max="10" width="16.6640625" bestFit="1" customWidth="1"/>
    <col min="11" max="11" width="19.33203125" bestFit="1" customWidth="1"/>
    <col min="12" max="12" width="14.109375" bestFit="1" customWidth="1"/>
  </cols>
  <sheetData>
    <row r="1" spans="1:12" ht="18" x14ac:dyDescent="0.35">
      <c r="A1" s="31" t="s">
        <v>38</v>
      </c>
      <c r="B1" s="31"/>
      <c r="C1" s="31"/>
      <c r="D1" s="31"/>
      <c r="E1" s="31"/>
      <c r="F1" s="31"/>
      <c r="G1" s="31"/>
      <c r="H1" s="31"/>
      <c r="I1" s="31"/>
      <c r="J1" s="31"/>
      <c r="K1" s="31"/>
      <c r="L1" s="31"/>
    </row>
    <row r="2" spans="1:12" x14ac:dyDescent="0.3">
      <c r="A2" s="9"/>
      <c r="B2" s="9"/>
      <c r="C2" s="9"/>
      <c r="D2" s="9"/>
      <c r="E2" s="9"/>
      <c r="F2" s="9"/>
      <c r="G2" s="9"/>
      <c r="H2" s="9"/>
      <c r="I2" s="9"/>
      <c r="J2" s="9"/>
      <c r="K2" s="9"/>
      <c r="L2" s="9"/>
    </row>
    <row r="3" spans="1:12" x14ac:dyDescent="0.3">
      <c r="A3" s="10" t="s">
        <v>39</v>
      </c>
      <c r="B3" s="10" t="s">
        <v>40</v>
      </c>
      <c r="C3" s="10" t="s">
        <v>41</v>
      </c>
      <c r="D3" s="10" t="s">
        <v>42</v>
      </c>
      <c r="E3" s="10" t="s">
        <v>43</v>
      </c>
      <c r="F3" s="10" t="s">
        <v>44</v>
      </c>
      <c r="G3" s="10" t="s">
        <v>45</v>
      </c>
      <c r="H3" s="10" t="s">
        <v>46</v>
      </c>
      <c r="I3" s="10" t="s">
        <v>47</v>
      </c>
      <c r="J3" s="10" t="s">
        <v>48</v>
      </c>
      <c r="K3" s="10" t="s">
        <v>49</v>
      </c>
      <c r="L3" s="10" t="s">
        <v>50</v>
      </c>
    </row>
    <row r="4" spans="1:12" x14ac:dyDescent="0.3">
      <c r="A4" s="11">
        <v>1</v>
      </c>
      <c r="B4" s="12" t="s">
        <v>51</v>
      </c>
      <c r="C4" s="11" t="s">
        <v>52</v>
      </c>
      <c r="D4" s="13">
        <v>1139200</v>
      </c>
      <c r="E4" s="13">
        <v>427192</v>
      </c>
      <c r="F4" s="12" t="s">
        <v>53</v>
      </c>
      <c r="G4" s="13">
        <v>60</v>
      </c>
      <c r="H4" s="14">
        <f>G4/E4</f>
        <v>1.4045206839079384E-4</v>
      </c>
      <c r="I4" s="15">
        <v>8.2000000000000001E-5</v>
      </c>
      <c r="J4" s="16">
        <v>89</v>
      </c>
      <c r="K4" s="17" t="str">
        <f>IF(J4&gt;=30,"Lolos","Tidak")</f>
        <v>Lolos</v>
      </c>
      <c r="L4" s="11" t="s">
        <v>54</v>
      </c>
    </row>
    <row r="5" spans="1:12" x14ac:dyDescent="0.3">
      <c r="A5" s="11"/>
      <c r="B5" s="12"/>
      <c r="C5" s="11"/>
      <c r="D5" s="18"/>
      <c r="E5" s="18"/>
      <c r="F5" s="12" t="s">
        <v>55</v>
      </c>
      <c r="G5" s="13">
        <v>15268</v>
      </c>
      <c r="H5" s="14">
        <f>G5/E4</f>
        <v>3.5740369669844008E-2</v>
      </c>
      <c r="I5" s="15">
        <v>1.4818E-2</v>
      </c>
      <c r="J5" s="16">
        <v>66.42</v>
      </c>
      <c r="K5" s="17" t="str">
        <f t="shared" ref="K5:K18" si="0">IF(J5&gt;=30,"Lolos","Tidak")</f>
        <v>Lolos</v>
      </c>
      <c r="L5" s="11" t="s">
        <v>54</v>
      </c>
    </row>
    <row r="6" spans="1:12" x14ac:dyDescent="0.3">
      <c r="A6" s="19"/>
      <c r="B6" s="20"/>
      <c r="C6" s="19"/>
      <c r="D6" s="21"/>
      <c r="E6" s="21"/>
      <c r="F6" s="20" t="s">
        <v>56</v>
      </c>
      <c r="G6" s="22">
        <v>67788</v>
      </c>
      <c r="H6" s="14">
        <f>G6/E4</f>
        <v>0.15868274686791886</v>
      </c>
      <c r="I6" s="23">
        <v>7.9236000000000001E-2</v>
      </c>
      <c r="J6" s="24">
        <v>59.14</v>
      </c>
      <c r="K6" s="17" t="str">
        <f t="shared" si="0"/>
        <v>Lolos</v>
      </c>
      <c r="L6" s="26" t="s">
        <v>54</v>
      </c>
    </row>
    <row r="7" spans="1:12" x14ac:dyDescent="0.3">
      <c r="A7" s="19">
        <v>2</v>
      </c>
      <c r="B7" s="20" t="s">
        <v>57</v>
      </c>
      <c r="C7" s="19" t="s">
        <v>58</v>
      </c>
      <c r="D7" s="22">
        <v>196200</v>
      </c>
      <c r="E7" s="22">
        <v>73567</v>
      </c>
      <c r="F7" s="20" t="s">
        <v>53</v>
      </c>
      <c r="G7" s="22">
        <v>60</v>
      </c>
      <c r="H7" s="14">
        <f t="shared" ref="H5:H18" si="1">G7/E7</f>
        <v>8.1558307393260563E-4</v>
      </c>
      <c r="I7" s="23">
        <v>4.7600000000000002E-4</v>
      </c>
      <c r="J7" s="24">
        <v>81.36</v>
      </c>
      <c r="K7" s="17" t="str">
        <f t="shared" si="0"/>
        <v>Lolos</v>
      </c>
      <c r="L7" s="26" t="s">
        <v>54</v>
      </c>
    </row>
    <row r="8" spans="1:12" x14ac:dyDescent="0.3">
      <c r="A8" s="19"/>
      <c r="B8" s="20"/>
      <c r="C8" s="19"/>
      <c r="D8" s="21"/>
      <c r="E8" s="21"/>
      <c r="F8" s="20" t="s">
        <v>55</v>
      </c>
      <c r="G8" s="22">
        <v>15268</v>
      </c>
      <c r="H8" s="14">
        <f>G8/E7</f>
        <v>0.20753870621338372</v>
      </c>
      <c r="I8" s="23">
        <v>8.5752999999999996E-2</v>
      </c>
      <c r="J8" s="24">
        <v>58.8</v>
      </c>
      <c r="K8" s="17" t="str">
        <f t="shared" si="0"/>
        <v>Lolos</v>
      </c>
      <c r="L8" s="26" t="s">
        <v>54</v>
      </c>
    </row>
    <row r="9" spans="1:12" x14ac:dyDescent="0.3">
      <c r="A9" s="11"/>
      <c r="B9" s="12"/>
      <c r="C9" s="11"/>
      <c r="D9" s="18"/>
      <c r="E9" s="18"/>
      <c r="F9" s="12" t="s">
        <v>56</v>
      </c>
      <c r="G9" s="13">
        <v>67788</v>
      </c>
      <c r="H9" s="14">
        <f>G9/E7</f>
        <v>0.92144575692905784</v>
      </c>
      <c r="I9" s="15">
        <v>0.460567</v>
      </c>
      <c r="J9" s="16">
        <v>51.5</v>
      </c>
      <c r="K9" s="17" t="str">
        <f t="shared" si="0"/>
        <v>Lolos</v>
      </c>
      <c r="L9" s="11" t="s">
        <v>54</v>
      </c>
    </row>
    <row r="10" spans="1:12" x14ac:dyDescent="0.3">
      <c r="A10" s="11">
        <v>3</v>
      </c>
      <c r="B10" s="12" t="s">
        <v>59</v>
      </c>
      <c r="C10" s="11" t="s">
        <v>60</v>
      </c>
      <c r="D10" s="13">
        <v>1616640</v>
      </c>
      <c r="E10" s="13">
        <v>606232</v>
      </c>
      <c r="F10" s="12" t="s">
        <v>53</v>
      </c>
      <c r="G10" s="13">
        <v>60</v>
      </c>
      <c r="H10" s="14">
        <f>G10/$E$10</f>
        <v>9.89720107153697E-5</v>
      </c>
      <c r="I10" s="15">
        <v>5.3000000000000001E-5</v>
      </c>
      <c r="J10" s="16">
        <v>90.86</v>
      </c>
      <c r="K10" s="17" t="str">
        <f t="shared" si="0"/>
        <v>Lolos</v>
      </c>
      <c r="L10" s="11" t="s">
        <v>54</v>
      </c>
    </row>
    <row r="11" spans="1:12" x14ac:dyDescent="0.3">
      <c r="A11" s="11"/>
      <c r="B11" s="12"/>
      <c r="C11" s="11"/>
      <c r="D11" s="18"/>
      <c r="E11" s="18"/>
      <c r="F11" s="12" t="s">
        <v>55</v>
      </c>
      <c r="G11" s="13">
        <v>15268</v>
      </c>
      <c r="H11" s="14">
        <f t="shared" ref="H11:H12" si="2">G11/$E$10</f>
        <v>2.518507766003774E-2</v>
      </c>
      <c r="I11" s="15">
        <v>1.0467000000000001E-2</v>
      </c>
      <c r="J11" s="16">
        <v>67.930000000000007</v>
      </c>
      <c r="K11" s="17" t="str">
        <f t="shared" si="0"/>
        <v>Lolos</v>
      </c>
      <c r="L11" s="11" t="s">
        <v>54</v>
      </c>
    </row>
    <row r="12" spans="1:12" x14ac:dyDescent="0.3">
      <c r="A12" s="19"/>
      <c r="B12" s="20"/>
      <c r="C12" s="19"/>
      <c r="D12" s="21"/>
      <c r="E12" s="21"/>
      <c r="F12" s="20" t="s">
        <v>56</v>
      </c>
      <c r="G12" s="22">
        <v>67788</v>
      </c>
      <c r="H12" s="14">
        <f t="shared" si="2"/>
        <v>0.11181857770622468</v>
      </c>
      <c r="I12" s="23">
        <v>5.5900999999999999E-2</v>
      </c>
      <c r="J12" s="24">
        <v>60.66</v>
      </c>
      <c r="K12" s="17" t="str">
        <f t="shared" si="0"/>
        <v>Lolos</v>
      </c>
      <c r="L12" s="26" t="s">
        <v>54</v>
      </c>
    </row>
    <row r="13" spans="1:12" x14ac:dyDescent="0.3">
      <c r="A13" s="19">
        <v>4</v>
      </c>
      <c r="B13" s="20" t="s">
        <v>61</v>
      </c>
      <c r="C13" s="19" t="s">
        <v>62</v>
      </c>
      <c r="D13" s="22">
        <v>589824</v>
      </c>
      <c r="E13" s="22">
        <v>221176</v>
      </c>
      <c r="F13" s="20" t="s">
        <v>53</v>
      </c>
      <c r="G13" s="22">
        <v>60</v>
      </c>
      <c r="H13" s="14">
        <f>G13/$E$13</f>
        <v>2.7127717293015517E-4</v>
      </c>
      <c r="I13" s="23">
        <v>1.4300000000000001E-4</v>
      </c>
      <c r="J13" s="24">
        <v>86.58</v>
      </c>
      <c r="K13" s="17" t="str">
        <f t="shared" si="0"/>
        <v>Lolos</v>
      </c>
      <c r="L13" s="26" t="s">
        <v>54</v>
      </c>
    </row>
    <row r="14" spans="1:12" x14ac:dyDescent="0.3">
      <c r="A14" s="19"/>
      <c r="B14" s="20"/>
      <c r="C14" s="19"/>
      <c r="D14" s="21"/>
      <c r="E14" s="21"/>
      <c r="F14" s="20" t="s">
        <v>55</v>
      </c>
      <c r="G14" s="22">
        <v>15268</v>
      </c>
      <c r="H14" s="14">
        <f t="shared" ref="H14:H15" si="3">G14/$E$13</f>
        <v>6.9030997938293481E-2</v>
      </c>
      <c r="I14" s="23">
        <v>2.8601000000000001E-2</v>
      </c>
      <c r="J14" s="24">
        <v>63.57</v>
      </c>
      <c r="K14" s="17" t="str">
        <f t="shared" si="0"/>
        <v>Lolos</v>
      </c>
      <c r="L14" s="26" t="s">
        <v>54</v>
      </c>
    </row>
    <row r="15" spans="1:12" x14ac:dyDescent="0.3">
      <c r="A15" s="11"/>
      <c r="B15" s="12"/>
      <c r="C15" s="11"/>
      <c r="D15" s="18"/>
      <c r="E15" s="18"/>
      <c r="F15" s="12" t="s">
        <v>56</v>
      </c>
      <c r="G15" s="13">
        <v>67788</v>
      </c>
      <c r="H15" s="14">
        <f t="shared" si="3"/>
        <v>0.30648894997648929</v>
      </c>
      <c r="I15" s="15">
        <v>0.152562</v>
      </c>
      <c r="J15" s="16">
        <v>56.3</v>
      </c>
      <c r="K15" s="17" t="str">
        <f t="shared" si="0"/>
        <v>Lolos</v>
      </c>
      <c r="L15" s="11" t="s">
        <v>54</v>
      </c>
    </row>
    <row r="16" spans="1:12" x14ac:dyDescent="0.3">
      <c r="A16" s="11">
        <v>5</v>
      </c>
      <c r="B16" s="12" t="s">
        <v>63</v>
      </c>
      <c r="C16" s="11" t="s">
        <v>64</v>
      </c>
      <c r="D16" s="13">
        <v>1228800</v>
      </c>
      <c r="E16" s="13">
        <v>460792</v>
      </c>
      <c r="F16" s="12" t="s">
        <v>53</v>
      </c>
      <c r="G16" s="13">
        <v>60</v>
      </c>
      <c r="H16" s="14">
        <f>G16/$E$16</f>
        <v>1.3021059393392246E-4</v>
      </c>
      <c r="I16" s="15">
        <v>7.3999999999999996E-5</v>
      </c>
      <c r="J16" s="16">
        <v>89.44</v>
      </c>
      <c r="K16" s="17" t="str">
        <f t="shared" si="0"/>
        <v>Lolos</v>
      </c>
      <c r="L16" s="11" t="s">
        <v>54</v>
      </c>
    </row>
    <row r="17" spans="1:12" x14ac:dyDescent="0.3">
      <c r="A17" s="11"/>
      <c r="B17" s="12"/>
      <c r="C17" s="11"/>
      <c r="D17" s="18"/>
      <c r="E17" s="18"/>
      <c r="F17" s="12" t="s">
        <v>55</v>
      </c>
      <c r="G17" s="13">
        <v>15268</v>
      </c>
      <c r="H17" s="14">
        <f t="shared" ref="H17:H18" si="4">G17/$E$16</f>
        <v>3.3134255803052133E-2</v>
      </c>
      <c r="I17" s="15">
        <v>1.3658E-2</v>
      </c>
      <c r="J17" s="16">
        <v>66.78</v>
      </c>
      <c r="K17" s="17" t="str">
        <f t="shared" si="0"/>
        <v>Lolos</v>
      </c>
      <c r="L17" s="11" t="s">
        <v>54</v>
      </c>
    </row>
    <row r="18" spans="1:12" x14ac:dyDescent="0.3">
      <c r="A18" s="19"/>
      <c r="B18" s="20"/>
      <c r="C18" s="19"/>
      <c r="D18" s="21"/>
      <c r="E18" s="21"/>
      <c r="F18" s="20" t="s">
        <v>56</v>
      </c>
      <c r="G18" s="22">
        <v>67788</v>
      </c>
      <c r="H18" s="14">
        <f t="shared" si="4"/>
        <v>0.1471119290265456</v>
      </c>
      <c r="I18" s="23">
        <v>7.3373999999999995E-2</v>
      </c>
      <c r="J18" s="24">
        <v>59.48</v>
      </c>
      <c r="K18" s="17" t="str">
        <f t="shared" si="0"/>
        <v>Lolos</v>
      </c>
      <c r="L18" s="26" t="s">
        <v>54</v>
      </c>
    </row>
    <row r="19" spans="1:12" x14ac:dyDescent="0.3">
      <c r="A19" s="27" t="s">
        <v>65</v>
      </c>
      <c r="B19" s="28"/>
      <c r="C19" s="28"/>
      <c r="D19" s="28"/>
      <c r="E19" s="28"/>
      <c r="F19" s="28"/>
      <c r="G19" s="28"/>
      <c r="H19" s="28"/>
      <c r="I19" s="29">
        <f>AVERAGE(I4,I7,I10,I13,I16)</f>
        <v>1.6559999999999999E-4</v>
      </c>
      <c r="J19" s="29">
        <f>AVERAGE(J4,J7,J10,J13,J16)</f>
        <v>87.448000000000008</v>
      </c>
      <c r="K19" s="30" t="s">
        <v>66</v>
      </c>
      <c r="L19" s="30" t="s">
        <v>67</v>
      </c>
    </row>
    <row r="20" spans="1:12" x14ac:dyDescent="0.3">
      <c r="A20" s="27" t="s">
        <v>68</v>
      </c>
      <c r="B20" s="28"/>
      <c r="C20" s="28"/>
      <c r="D20" s="28"/>
      <c r="E20" s="28"/>
      <c r="F20" s="28"/>
      <c r="G20" s="28"/>
      <c r="H20" s="28"/>
      <c r="I20" s="29">
        <f>AVERAGE(I5,I8,I11,I14,I17)</f>
        <v>3.0659400000000003E-2</v>
      </c>
      <c r="J20" s="29">
        <f t="shared" ref="J20:J21" si="5">AVERAGE(J5,J8,J11,J14,J17)</f>
        <v>64.7</v>
      </c>
      <c r="K20" s="30" t="s">
        <v>66</v>
      </c>
      <c r="L20" s="30" t="s">
        <v>67</v>
      </c>
    </row>
    <row r="21" spans="1:12" x14ac:dyDescent="0.3">
      <c r="A21" s="27" t="s">
        <v>69</v>
      </c>
      <c r="B21" s="28"/>
      <c r="C21" s="28"/>
      <c r="D21" s="28"/>
      <c r="E21" s="28"/>
      <c r="F21" s="28"/>
      <c r="G21" s="28"/>
      <c r="H21" s="28"/>
      <c r="I21" s="29">
        <f>AVERAGE(I6,I9,I12,I15,I18)</f>
        <v>0.16432799999999997</v>
      </c>
      <c r="J21" s="29">
        <f t="shared" si="5"/>
        <v>57.416000000000011</v>
      </c>
      <c r="K21" s="30" t="s">
        <v>66</v>
      </c>
      <c r="L21" s="30" t="s">
        <v>67</v>
      </c>
    </row>
    <row r="22" spans="1:12" x14ac:dyDescent="0.3">
      <c r="A22" s="27" t="s">
        <v>70</v>
      </c>
      <c r="B22" s="28"/>
      <c r="C22" s="28"/>
      <c r="D22" s="28"/>
      <c r="E22" s="28"/>
      <c r="F22" s="28"/>
      <c r="G22" s="28"/>
      <c r="H22" s="28"/>
      <c r="I22" s="29">
        <f>AVERAGE(I4:I18)</f>
        <v>6.5050999999999998E-2</v>
      </c>
      <c r="J22" s="29">
        <f>AVERAGE(J4:J18)</f>
        <v>69.85466666666666</v>
      </c>
      <c r="K22" s="30" t="s">
        <v>66</v>
      </c>
      <c r="L22" s="30" t="s">
        <v>67</v>
      </c>
    </row>
    <row r="24" spans="1:12" ht="18" x14ac:dyDescent="0.35">
      <c r="A24" s="31" t="s">
        <v>71</v>
      </c>
      <c r="B24" s="31"/>
      <c r="C24" s="31"/>
      <c r="D24" s="31"/>
      <c r="E24" s="31"/>
      <c r="F24" s="31"/>
      <c r="G24" s="38"/>
    </row>
    <row r="25" spans="1:12" x14ac:dyDescent="0.3">
      <c r="A25" s="38"/>
      <c r="B25" s="38"/>
      <c r="C25" s="38"/>
      <c r="D25" s="38"/>
      <c r="E25" s="38"/>
      <c r="F25" s="38"/>
      <c r="G25" s="38"/>
    </row>
    <row r="26" spans="1:12" x14ac:dyDescent="0.3">
      <c r="A26" s="10" t="s">
        <v>39</v>
      </c>
      <c r="B26" s="10" t="s">
        <v>72</v>
      </c>
      <c r="C26" s="10" t="s">
        <v>73</v>
      </c>
      <c r="D26" s="10" t="s">
        <v>74</v>
      </c>
      <c r="E26" s="10" t="s">
        <v>75</v>
      </c>
      <c r="F26" s="40" t="s">
        <v>76</v>
      </c>
      <c r="G26" s="40"/>
    </row>
    <row r="27" spans="1:12" x14ac:dyDescent="0.3">
      <c r="A27" s="32">
        <v>1</v>
      </c>
      <c r="B27" s="33" t="s">
        <v>77</v>
      </c>
      <c r="C27" s="33" t="s">
        <v>78</v>
      </c>
      <c r="D27" s="32" t="s">
        <v>79</v>
      </c>
      <c r="E27" s="32" t="s">
        <v>80</v>
      </c>
      <c r="F27" s="41" t="s">
        <v>81</v>
      </c>
      <c r="G27" s="41"/>
    </row>
    <row r="28" spans="1:12" x14ac:dyDescent="0.3">
      <c r="A28" s="34">
        <v>2</v>
      </c>
      <c r="B28" s="35" t="s">
        <v>82</v>
      </c>
      <c r="C28" s="35" t="s">
        <v>83</v>
      </c>
      <c r="D28" s="36" t="s">
        <v>84</v>
      </c>
      <c r="E28" s="36" t="s">
        <v>85</v>
      </c>
      <c r="F28" s="42" t="s">
        <v>86</v>
      </c>
      <c r="G28" s="42"/>
    </row>
    <row r="29" spans="1:12" x14ac:dyDescent="0.3">
      <c r="A29" s="34">
        <v>3</v>
      </c>
      <c r="B29" s="35" t="s">
        <v>87</v>
      </c>
      <c r="C29" s="35" t="s">
        <v>88</v>
      </c>
      <c r="D29" s="36" t="s">
        <v>84</v>
      </c>
      <c r="E29" s="36" t="s">
        <v>85</v>
      </c>
      <c r="F29" s="42" t="s">
        <v>86</v>
      </c>
      <c r="G29" s="42"/>
    </row>
    <row r="30" spans="1:12" x14ac:dyDescent="0.3">
      <c r="A30" s="34">
        <v>4</v>
      </c>
      <c r="B30" s="35" t="s">
        <v>89</v>
      </c>
      <c r="C30" s="35" t="s">
        <v>90</v>
      </c>
      <c r="D30" s="36" t="s">
        <v>84</v>
      </c>
      <c r="E30" s="36" t="s">
        <v>85</v>
      </c>
      <c r="F30" s="42" t="s">
        <v>86</v>
      </c>
      <c r="G30" s="42"/>
    </row>
    <row r="31" spans="1:12" x14ac:dyDescent="0.3">
      <c r="A31" s="38"/>
      <c r="B31" s="38"/>
      <c r="C31" s="38"/>
      <c r="D31" s="38"/>
      <c r="E31" s="38"/>
      <c r="F31" s="38"/>
      <c r="G31" s="38"/>
    </row>
    <row r="32" spans="1:12" ht="18" x14ac:dyDescent="0.35">
      <c r="A32" s="31" t="s">
        <v>91</v>
      </c>
      <c r="B32" s="31"/>
      <c r="C32" s="31"/>
      <c r="D32" s="31"/>
      <c r="E32" s="31"/>
      <c r="F32" s="31"/>
      <c r="G32" s="31"/>
    </row>
    <row r="33" spans="1:10" x14ac:dyDescent="0.3">
      <c r="A33" s="38"/>
      <c r="B33" s="38"/>
      <c r="C33" s="38"/>
      <c r="D33" s="38"/>
      <c r="E33" s="38"/>
      <c r="F33" s="38"/>
      <c r="G33" s="38"/>
    </row>
    <row r="34" spans="1:10" x14ac:dyDescent="0.3">
      <c r="A34" s="10" t="s">
        <v>39</v>
      </c>
      <c r="B34" s="10" t="s">
        <v>92</v>
      </c>
      <c r="C34" s="10" t="s">
        <v>93</v>
      </c>
      <c r="D34" s="10" t="s">
        <v>94</v>
      </c>
      <c r="E34" s="10" t="s">
        <v>95</v>
      </c>
      <c r="F34" s="10" t="s">
        <v>96</v>
      </c>
      <c r="G34" s="40" t="s">
        <v>97</v>
      </c>
      <c r="H34" s="40"/>
      <c r="I34" s="40"/>
      <c r="J34" s="40"/>
    </row>
    <row r="35" spans="1:10" x14ac:dyDescent="0.3">
      <c r="A35" s="32">
        <v>1</v>
      </c>
      <c r="B35" s="33" t="s">
        <v>98</v>
      </c>
      <c r="C35" s="32" t="s">
        <v>99</v>
      </c>
      <c r="D35" s="32" t="s">
        <v>100</v>
      </c>
      <c r="E35" s="32" t="s">
        <v>101</v>
      </c>
      <c r="F35" s="33" t="s">
        <v>102</v>
      </c>
      <c r="G35" s="41" t="s">
        <v>103</v>
      </c>
      <c r="H35" s="41"/>
      <c r="I35" s="41"/>
      <c r="J35" s="41"/>
    </row>
    <row r="36" spans="1:10" x14ac:dyDescent="0.3">
      <c r="A36" s="34">
        <v>2</v>
      </c>
      <c r="B36" s="35" t="s">
        <v>104</v>
      </c>
      <c r="C36" s="34" t="s">
        <v>105</v>
      </c>
      <c r="D36" s="36" t="s">
        <v>106</v>
      </c>
      <c r="E36" s="36" t="s">
        <v>107</v>
      </c>
      <c r="F36" s="37" t="s">
        <v>108</v>
      </c>
      <c r="G36" s="43" t="s">
        <v>109</v>
      </c>
      <c r="H36" s="43"/>
      <c r="I36" s="43"/>
      <c r="J36" s="43"/>
    </row>
    <row r="37" spans="1:10" x14ac:dyDescent="0.3">
      <c r="A37" s="34">
        <v>3</v>
      </c>
      <c r="B37" s="35" t="s">
        <v>104</v>
      </c>
      <c r="C37" s="34" t="s">
        <v>110</v>
      </c>
      <c r="D37" s="36" t="s">
        <v>106</v>
      </c>
      <c r="E37" s="36" t="s">
        <v>107</v>
      </c>
      <c r="F37" s="37" t="s">
        <v>108</v>
      </c>
      <c r="G37" s="43" t="s">
        <v>111</v>
      </c>
      <c r="H37" s="43"/>
      <c r="I37" s="43"/>
      <c r="J37" s="43"/>
    </row>
    <row r="38" spans="1:10" x14ac:dyDescent="0.3">
      <c r="A38" s="34">
        <v>4</v>
      </c>
      <c r="B38" s="35" t="s">
        <v>104</v>
      </c>
      <c r="C38" s="34" t="s">
        <v>112</v>
      </c>
      <c r="D38" s="36" t="s">
        <v>106</v>
      </c>
      <c r="E38" s="36" t="s">
        <v>107</v>
      </c>
      <c r="F38" s="37" t="s">
        <v>108</v>
      </c>
      <c r="G38" s="43" t="s">
        <v>113</v>
      </c>
      <c r="H38" s="43"/>
      <c r="I38" s="43"/>
      <c r="J38" s="43"/>
    </row>
  </sheetData>
  <mergeCells count="17">
    <mergeCell ref="G34:J34"/>
    <mergeCell ref="G35:J35"/>
    <mergeCell ref="G36:J36"/>
    <mergeCell ref="G37:J37"/>
    <mergeCell ref="G38:J38"/>
    <mergeCell ref="A24:F24"/>
    <mergeCell ref="A32:G32"/>
    <mergeCell ref="F26:G26"/>
    <mergeCell ref="F27:G27"/>
    <mergeCell ref="F28:G28"/>
    <mergeCell ref="F29:G29"/>
    <mergeCell ref="F30:G30"/>
    <mergeCell ref="A20:H20"/>
    <mergeCell ref="A19:H19"/>
    <mergeCell ref="A21:H21"/>
    <mergeCell ref="A22:H22"/>
    <mergeCell ref="A1:L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5DAC0B-FD27-4A08-8120-3E878AEAFF42}">
  <dimension ref="A1:G18"/>
  <sheetViews>
    <sheetView workbookViewId="0">
      <selection activeCell="D23" sqref="D23"/>
    </sheetView>
  </sheetViews>
  <sheetFormatPr defaultRowHeight="14.4" x14ac:dyDescent="0.3"/>
  <cols>
    <col min="1" max="1" width="25.109375" bestFit="1" customWidth="1"/>
    <col min="2" max="2" width="18.21875" bestFit="1" customWidth="1"/>
    <col min="3" max="3" width="21.6640625" bestFit="1" customWidth="1"/>
    <col min="4" max="4" width="14.77734375" bestFit="1" customWidth="1"/>
    <col min="5" max="5" width="21.44140625" bestFit="1" customWidth="1"/>
    <col min="6" max="6" width="18.6640625" bestFit="1" customWidth="1"/>
  </cols>
  <sheetData>
    <row r="1" spans="1:7" ht="18" x14ac:dyDescent="0.35">
      <c r="A1" s="31" t="s">
        <v>114</v>
      </c>
      <c r="B1" s="31"/>
      <c r="C1" s="31"/>
      <c r="D1" s="31"/>
      <c r="E1" s="31"/>
      <c r="F1" s="31"/>
      <c r="G1" s="39"/>
    </row>
    <row r="3" spans="1:7" x14ac:dyDescent="0.3">
      <c r="A3" s="44" t="s">
        <v>115</v>
      </c>
      <c r="B3" s="28"/>
      <c r="C3" s="28"/>
      <c r="D3" s="28"/>
      <c r="E3" s="38"/>
      <c r="F3" s="38"/>
    </row>
    <row r="4" spans="1:7" x14ac:dyDescent="0.3">
      <c r="A4" s="7" t="s">
        <v>116</v>
      </c>
      <c r="B4" s="45" t="s">
        <v>117</v>
      </c>
      <c r="C4" s="28"/>
      <c r="D4" s="28"/>
      <c r="E4" s="38"/>
      <c r="F4" s="38"/>
    </row>
    <row r="5" spans="1:7" x14ac:dyDescent="0.3">
      <c r="A5" s="7" t="s">
        <v>118</v>
      </c>
      <c r="B5" s="45" t="s">
        <v>119</v>
      </c>
      <c r="C5" s="28"/>
      <c r="D5" s="28"/>
      <c r="E5" s="38"/>
      <c r="F5" s="38"/>
    </row>
    <row r="6" spans="1:7" x14ac:dyDescent="0.3">
      <c r="A6" s="7" t="s">
        <v>120</v>
      </c>
      <c r="B6" s="45" t="s">
        <v>121</v>
      </c>
      <c r="C6" s="28"/>
      <c r="D6" s="28"/>
      <c r="E6" s="38"/>
      <c r="F6" s="38"/>
    </row>
    <row r="7" spans="1:7" x14ac:dyDescent="0.3">
      <c r="A7" s="7" t="s">
        <v>122</v>
      </c>
      <c r="B7" s="45" t="s">
        <v>123</v>
      </c>
      <c r="C7" s="28"/>
      <c r="D7" s="28"/>
      <c r="E7" s="38"/>
      <c r="F7" s="38"/>
    </row>
    <row r="8" spans="1:7" x14ac:dyDescent="0.3">
      <c r="A8" s="7" t="s">
        <v>124</v>
      </c>
      <c r="B8" s="45" t="s">
        <v>125</v>
      </c>
      <c r="C8" s="28"/>
      <c r="D8" s="28"/>
      <c r="E8" s="38"/>
      <c r="F8" s="38"/>
    </row>
    <row r="9" spans="1:7" x14ac:dyDescent="0.3">
      <c r="A9" s="7" t="s">
        <v>126</v>
      </c>
      <c r="B9" s="45" t="s">
        <v>127</v>
      </c>
      <c r="C9" s="28"/>
      <c r="D9" s="28"/>
      <c r="E9" s="38"/>
      <c r="F9" s="38"/>
    </row>
    <row r="10" spans="1:7" x14ac:dyDescent="0.3">
      <c r="A10" s="7" t="s">
        <v>128</v>
      </c>
      <c r="B10" s="45" t="s">
        <v>129</v>
      </c>
      <c r="C10" s="28"/>
      <c r="D10" s="28"/>
      <c r="E10" s="38"/>
      <c r="F10" s="38"/>
    </row>
    <row r="11" spans="1:7" x14ac:dyDescent="0.3">
      <c r="A11" s="7" t="s">
        <v>130</v>
      </c>
      <c r="B11" s="45" t="s">
        <v>131</v>
      </c>
      <c r="C11" s="28"/>
      <c r="D11" s="28"/>
      <c r="E11" s="38"/>
      <c r="F11" s="38"/>
    </row>
    <row r="14" spans="1:7" x14ac:dyDescent="0.3">
      <c r="A14" s="46" t="s">
        <v>132</v>
      </c>
      <c r="B14" s="28"/>
      <c r="C14" s="28"/>
      <c r="D14" s="28"/>
      <c r="E14" s="28"/>
      <c r="F14" s="28"/>
    </row>
    <row r="15" spans="1:7" x14ac:dyDescent="0.3">
      <c r="A15" s="47" t="s">
        <v>133</v>
      </c>
      <c r="B15" s="47" t="s">
        <v>134</v>
      </c>
      <c r="C15" s="47" t="s">
        <v>135</v>
      </c>
      <c r="D15" s="47" t="s">
        <v>136</v>
      </c>
      <c r="E15" s="47" t="s">
        <v>137</v>
      </c>
      <c r="F15" s="47" t="s">
        <v>138</v>
      </c>
    </row>
    <row r="16" spans="1:7" x14ac:dyDescent="0.3">
      <c r="A16" s="34" t="s">
        <v>139</v>
      </c>
      <c r="B16" s="48">
        <v>13751.69</v>
      </c>
      <c r="C16" s="34">
        <v>128</v>
      </c>
      <c r="D16" s="34" t="s">
        <v>140</v>
      </c>
      <c r="E16" s="49">
        <v>0.96870000000000001</v>
      </c>
      <c r="F16" s="50" t="s">
        <v>141</v>
      </c>
    </row>
    <row r="17" spans="1:6" x14ac:dyDescent="0.3">
      <c r="A17" s="34" t="s">
        <v>142</v>
      </c>
      <c r="B17" s="48">
        <v>9949.01</v>
      </c>
      <c r="C17" s="34">
        <v>127</v>
      </c>
      <c r="D17" s="34" t="s">
        <v>140</v>
      </c>
      <c r="E17" s="49">
        <v>0.94510000000000005</v>
      </c>
      <c r="F17" s="50" t="s">
        <v>141</v>
      </c>
    </row>
    <row r="18" spans="1:6" x14ac:dyDescent="0.3">
      <c r="A18" s="34" t="s">
        <v>143</v>
      </c>
      <c r="B18" s="48">
        <v>13349.09</v>
      </c>
      <c r="C18" s="34">
        <v>125</v>
      </c>
      <c r="D18" s="34" t="s">
        <v>140</v>
      </c>
      <c r="E18" s="49">
        <v>0.93869999999999998</v>
      </c>
      <c r="F18" s="50" t="s">
        <v>141</v>
      </c>
    </row>
  </sheetData>
  <mergeCells count="11">
    <mergeCell ref="A1:F1"/>
    <mergeCell ref="B10:D10"/>
    <mergeCell ref="B11:D11"/>
    <mergeCell ref="B5:D5"/>
    <mergeCell ref="A14:F14"/>
    <mergeCell ref="B8:D8"/>
    <mergeCell ref="A3:D3"/>
    <mergeCell ref="B4:D4"/>
    <mergeCell ref="B9:D9"/>
    <mergeCell ref="B7:D7"/>
    <mergeCell ref="B6:D6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8011DF-D873-415D-AA01-7325555388DD}">
  <dimension ref="A1:J15"/>
  <sheetViews>
    <sheetView workbookViewId="0">
      <selection activeCell="G12" sqref="G12"/>
    </sheetView>
  </sheetViews>
  <sheetFormatPr defaultRowHeight="14.4" x14ac:dyDescent="0.3"/>
  <cols>
    <col min="1" max="1" width="11.6640625" bestFit="1" customWidth="1"/>
    <col min="2" max="2" width="17.6640625" bestFit="1" customWidth="1"/>
    <col min="3" max="3" width="15.5546875" bestFit="1" customWidth="1"/>
    <col min="4" max="4" width="18.5546875" bestFit="1" customWidth="1"/>
    <col min="5" max="5" width="15.109375" bestFit="1" customWidth="1"/>
    <col min="6" max="6" width="18.33203125" bestFit="1" customWidth="1"/>
    <col min="7" max="7" width="20.44140625" bestFit="1" customWidth="1"/>
    <col min="8" max="8" width="18.109375" bestFit="1" customWidth="1"/>
    <col min="9" max="9" width="29.33203125" bestFit="1" customWidth="1"/>
    <col min="10" max="10" width="33.77734375" bestFit="1" customWidth="1"/>
  </cols>
  <sheetData>
    <row r="1" spans="1:10" ht="18" x14ac:dyDescent="0.35">
      <c r="A1" s="31" t="s">
        <v>144</v>
      </c>
      <c r="B1" s="31"/>
      <c r="C1" s="31"/>
      <c r="D1" s="31"/>
      <c r="E1" s="31"/>
      <c r="F1" s="31"/>
      <c r="G1" s="31"/>
    </row>
    <row r="3" spans="1:10" x14ac:dyDescent="0.3">
      <c r="A3" s="10" t="s">
        <v>133</v>
      </c>
      <c r="B3" s="10" t="s">
        <v>145</v>
      </c>
      <c r="C3" s="10" t="s">
        <v>146</v>
      </c>
      <c r="D3" s="10" t="s">
        <v>147</v>
      </c>
      <c r="E3" s="10" t="s">
        <v>148</v>
      </c>
      <c r="F3" s="10" t="s">
        <v>149</v>
      </c>
      <c r="G3" s="10" t="s">
        <v>150</v>
      </c>
    </row>
    <row r="4" spans="1:10" x14ac:dyDescent="0.3">
      <c r="A4" s="34" t="s">
        <v>151</v>
      </c>
      <c r="B4" s="55">
        <v>118.423</v>
      </c>
      <c r="C4" s="55">
        <v>118.419</v>
      </c>
      <c r="D4" s="55">
        <f>-0.004</f>
        <v>-4.0000000000000001E-3</v>
      </c>
      <c r="E4" s="48">
        <v>3241.15</v>
      </c>
      <c r="F4" s="48">
        <v>3241.08</v>
      </c>
      <c r="G4" s="32" t="s">
        <v>152</v>
      </c>
    </row>
    <row r="5" spans="1:10" x14ac:dyDescent="0.3">
      <c r="A5" s="34" t="s">
        <v>153</v>
      </c>
      <c r="B5" s="55">
        <v>134.81200000000001</v>
      </c>
      <c r="C5" s="55">
        <v>134.815</v>
      </c>
      <c r="D5" s="55">
        <f>0.003</f>
        <v>3.0000000000000001E-3</v>
      </c>
      <c r="E5" s="48">
        <v>2985.42</v>
      </c>
      <c r="F5" s="48">
        <v>2985.39</v>
      </c>
      <c r="G5" s="32" t="s">
        <v>152</v>
      </c>
    </row>
    <row r="6" spans="1:10" x14ac:dyDescent="0.3">
      <c r="A6" s="34" t="s">
        <v>154</v>
      </c>
      <c r="B6" s="55">
        <v>156.291</v>
      </c>
      <c r="C6" s="55">
        <v>156.28700000000001</v>
      </c>
      <c r="D6" s="55">
        <f>-0.004</f>
        <v>-4.0000000000000001E-3</v>
      </c>
      <c r="E6" s="48">
        <v>3812.9</v>
      </c>
      <c r="F6" s="48">
        <v>3812.86</v>
      </c>
      <c r="G6" s="32" t="s">
        <v>152</v>
      </c>
    </row>
    <row r="8" spans="1:10" ht="18" x14ac:dyDescent="0.35">
      <c r="A8" s="31" t="s">
        <v>155</v>
      </c>
      <c r="B8" s="31"/>
      <c r="C8" s="31"/>
      <c r="D8" s="31"/>
      <c r="E8" s="31"/>
      <c r="F8" s="31"/>
      <c r="G8" s="31"/>
      <c r="H8" s="31"/>
      <c r="I8" s="31"/>
      <c r="J8" s="31"/>
    </row>
    <row r="9" spans="1:10" x14ac:dyDescent="0.3">
      <c r="A9" s="52"/>
      <c r="B9" s="52"/>
      <c r="C9" s="52"/>
      <c r="D9" s="52"/>
      <c r="E9" s="52"/>
      <c r="F9" s="52"/>
      <c r="G9" s="52"/>
      <c r="H9" s="52"/>
      <c r="I9" s="52"/>
      <c r="J9" s="52"/>
    </row>
    <row r="10" spans="1:10" x14ac:dyDescent="0.3">
      <c r="A10" s="10" t="s">
        <v>39</v>
      </c>
      <c r="B10" s="10" t="s">
        <v>156</v>
      </c>
      <c r="C10" s="10" t="s">
        <v>41</v>
      </c>
      <c r="D10" s="10" t="s">
        <v>42</v>
      </c>
      <c r="E10" s="10" t="s">
        <v>157</v>
      </c>
      <c r="F10" s="10" t="s">
        <v>158</v>
      </c>
      <c r="G10" s="10" t="s">
        <v>43</v>
      </c>
      <c r="H10" s="10" t="s">
        <v>159</v>
      </c>
      <c r="I10" s="10" t="s">
        <v>160</v>
      </c>
      <c r="J10" s="10" t="s">
        <v>74</v>
      </c>
    </row>
    <row r="11" spans="1:10" x14ac:dyDescent="0.3">
      <c r="A11" s="34">
        <v>1</v>
      </c>
      <c r="B11" s="51" t="s">
        <v>51</v>
      </c>
      <c r="C11" s="34" t="s">
        <v>52</v>
      </c>
      <c r="D11" s="53">
        <v>1139200</v>
      </c>
      <c r="E11" s="53">
        <v>3417600</v>
      </c>
      <c r="F11" s="34">
        <v>9</v>
      </c>
      <c r="G11" s="53">
        <v>427192</v>
      </c>
      <c r="H11" s="54">
        <f>G11/1024</f>
        <v>417.1796875</v>
      </c>
      <c r="I11" s="34" t="s">
        <v>161</v>
      </c>
      <c r="J11" s="32" t="s">
        <v>162</v>
      </c>
    </row>
    <row r="12" spans="1:10" x14ac:dyDescent="0.3">
      <c r="A12" s="34">
        <v>2</v>
      </c>
      <c r="B12" s="51" t="s">
        <v>57</v>
      </c>
      <c r="C12" s="34" t="s">
        <v>58</v>
      </c>
      <c r="D12" s="53">
        <v>196200</v>
      </c>
      <c r="E12" s="53">
        <v>588600</v>
      </c>
      <c r="F12" s="34">
        <v>9</v>
      </c>
      <c r="G12" s="53">
        <v>73567</v>
      </c>
      <c r="H12" s="54">
        <f t="shared" ref="H12:H15" si="0">G12/1024</f>
        <v>71.8427734375</v>
      </c>
      <c r="I12" s="34" t="s">
        <v>163</v>
      </c>
      <c r="J12" s="50" t="s">
        <v>164</v>
      </c>
    </row>
    <row r="13" spans="1:10" x14ac:dyDescent="0.3">
      <c r="A13" s="34">
        <v>3</v>
      </c>
      <c r="B13" s="51" t="s">
        <v>59</v>
      </c>
      <c r="C13" s="34" t="s">
        <v>60</v>
      </c>
      <c r="D13" s="53">
        <v>1616640</v>
      </c>
      <c r="E13" s="53">
        <v>4849920</v>
      </c>
      <c r="F13" s="34">
        <v>9</v>
      </c>
      <c r="G13" s="53">
        <v>606232</v>
      </c>
      <c r="H13" s="54">
        <f t="shared" si="0"/>
        <v>592.0234375</v>
      </c>
      <c r="I13" s="34" t="s">
        <v>161</v>
      </c>
      <c r="J13" s="32" t="s">
        <v>162</v>
      </c>
    </row>
    <row r="14" spans="1:10" x14ac:dyDescent="0.3">
      <c r="A14" s="34">
        <v>4</v>
      </c>
      <c r="B14" s="51" t="s">
        <v>61</v>
      </c>
      <c r="C14" s="34" t="s">
        <v>62</v>
      </c>
      <c r="D14" s="53">
        <v>589824</v>
      </c>
      <c r="E14" s="53">
        <v>1769472</v>
      </c>
      <c r="F14" s="34">
        <v>9</v>
      </c>
      <c r="G14" s="53">
        <v>221176</v>
      </c>
      <c r="H14" s="54">
        <f t="shared" si="0"/>
        <v>215.9921875</v>
      </c>
      <c r="I14" s="34" t="s">
        <v>161</v>
      </c>
      <c r="J14" s="32" t="s">
        <v>162</v>
      </c>
    </row>
    <row r="15" spans="1:10" x14ac:dyDescent="0.3">
      <c r="A15" s="34">
        <v>5</v>
      </c>
      <c r="B15" s="51" t="s">
        <v>63</v>
      </c>
      <c r="C15" s="34" t="s">
        <v>64</v>
      </c>
      <c r="D15" s="53">
        <v>1228800</v>
      </c>
      <c r="E15" s="53">
        <v>3686400</v>
      </c>
      <c r="F15" s="34">
        <v>9</v>
      </c>
      <c r="G15" s="53">
        <v>460792</v>
      </c>
      <c r="H15" s="54">
        <f t="shared" si="0"/>
        <v>449.9921875</v>
      </c>
      <c r="I15" s="34" t="s">
        <v>161</v>
      </c>
      <c r="J15" s="32" t="s">
        <v>162</v>
      </c>
    </row>
  </sheetData>
  <mergeCells count="2">
    <mergeCell ref="A1:G1"/>
    <mergeCell ref="A8:J8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6C2215-FF33-48BB-8C29-A22168147CF3}">
  <dimension ref="A1:D9"/>
  <sheetViews>
    <sheetView workbookViewId="0">
      <selection activeCell="D13" sqref="D13"/>
    </sheetView>
  </sheetViews>
  <sheetFormatPr defaultRowHeight="14.4" x14ac:dyDescent="0.3"/>
  <cols>
    <col min="1" max="1" width="20.77734375" bestFit="1" customWidth="1"/>
    <col min="2" max="3" width="63.77734375" bestFit="1" customWidth="1"/>
    <col min="4" max="4" width="33" bestFit="1" customWidth="1"/>
  </cols>
  <sheetData>
    <row r="1" spans="1:4" ht="18" x14ac:dyDescent="0.35">
      <c r="A1" s="31" t="s">
        <v>165</v>
      </c>
      <c r="B1" s="31"/>
      <c r="C1" s="31"/>
      <c r="D1" s="31"/>
    </row>
    <row r="3" spans="1:4" x14ac:dyDescent="0.3">
      <c r="A3" s="10" t="s">
        <v>166</v>
      </c>
      <c r="B3" s="10" t="s">
        <v>167</v>
      </c>
      <c r="C3" s="10" t="s">
        <v>168</v>
      </c>
      <c r="D3" s="10" t="s">
        <v>169</v>
      </c>
    </row>
    <row r="4" spans="1:4" x14ac:dyDescent="0.3">
      <c r="A4" s="4" t="s">
        <v>170</v>
      </c>
      <c r="B4" s="35" t="s">
        <v>217</v>
      </c>
      <c r="C4" s="35" t="s">
        <v>217</v>
      </c>
      <c r="D4" s="25" t="s">
        <v>171</v>
      </c>
    </row>
    <row r="5" spans="1:4" x14ac:dyDescent="0.3">
      <c r="A5" s="4" t="s">
        <v>172</v>
      </c>
      <c r="B5" s="35" t="s">
        <v>173</v>
      </c>
      <c r="C5" s="35" t="s">
        <v>173</v>
      </c>
      <c r="D5" s="25" t="s">
        <v>174</v>
      </c>
    </row>
    <row r="6" spans="1:4" x14ac:dyDescent="0.3">
      <c r="A6" s="4" t="s">
        <v>175</v>
      </c>
      <c r="B6" s="35" t="s">
        <v>218</v>
      </c>
      <c r="C6" s="35" t="s">
        <v>219</v>
      </c>
      <c r="D6" s="25" t="s">
        <v>176</v>
      </c>
    </row>
    <row r="7" spans="1:4" x14ac:dyDescent="0.3">
      <c r="A7" s="4" t="s">
        <v>177</v>
      </c>
      <c r="B7" s="35" t="s">
        <v>220</v>
      </c>
      <c r="C7" s="35" t="s">
        <v>220</v>
      </c>
      <c r="D7" s="25" t="s">
        <v>178</v>
      </c>
    </row>
    <row r="8" spans="1:4" x14ac:dyDescent="0.3">
      <c r="A8" s="4" t="s">
        <v>179</v>
      </c>
      <c r="B8" s="35" t="s">
        <v>180</v>
      </c>
      <c r="C8" s="35" t="s">
        <v>180</v>
      </c>
      <c r="D8" s="25" t="s">
        <v>181</v>
      </c>
    </row>
    <row r="9" spans="1:4" x14ac:dyDescent="0.3">
      <c r="A9" s="4" t="s">
        <v>182</v>
      </c>
      <c r="B9" s="35" t="s">
        <v>183</v>
      </c>
      <c r="C9" s="35" t="s">
        <v>183</v>
      </c>
      <c r="D9" s="25" t="s">
        <v>184</v>
      </c>
    </row>
  </sheetData>
  <mergeCells count="1">
    <mergeCell ref="A1:D1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99C1BF-01B7-4826-85EE-0F30141A0EC7}">
  <dimension ref="A1:F10"/>
  <sheetViews>
    <sheetView workbookViewId="0">
      <selection activeCell="D18" sqref="D18"/>
    </sheetView>
  </sheetViews>
  <sheetFormatPr defaultRowHeight="14.4" x14ac:dyDescent="0.3"/>
  <cols>
    <col min="1" max="1" width="3.44140625" bestFit="1" customWidth="1"/>
    <col min="2" max="2" width="25.21875" bestFit="1" customWidth="1"/>
    <col min="3" max="3" width="20.88671875" bestFit="1" customWidth="1"/>
    <col min="4" max="4" width="46.21875" bestFit="1" customWidth="1"/>
    <col min="5" max="5" width="32.6640625" bestFit="1" customWidth="1"/>
    <col min="6" max="6" width="13.88671875" bestFit="1" customWidth="1"/>
  </cols>
  <sheetData>
    <row r="1" spans="1:6" ht="18" x14ac:dyDescent="0.35">
      <c r="A1" s="31" t="s">
        <v>185</v>
      </c>
      <c r="B1" s="31"/>
      <c r="C1" s="31"/>
      <c r="D1" s="31"/>
      <c r="E1" s="31"/>
      <c r="F1" s="31"/>
    </row>
    <row r="3" spans="1:6" x14ac:dyDescent="0.3">
      <c r="A3" s="10" t="s">
        <v>39</v>
      </c>
      <c r="B3" s="10" t="s">
        <v>186</v>
      </c>
      <c r="C3" s="10" t="s">
        <v>187</v>
      </c>
      <c r="D3" s="10" t="s">
        <v>188</v>
      </c>
      <c r="E3" s="10" t="s">
        <v>189</v>
      </c>
      <c r="F3" s="10" t="s">
        <v>190</v>
      </c>
    </row>
    <row r="4" spans="1:6" x14ac:dyDescent="0.3">
      <c r="A4" s="34">
        <v>1</v>
      </c>
      <c r="B4" s="35" t="s">
        <v>191</v>
      </c>
      <c r="C4" s="35" t="s">
        <v>192</v>
      </c>
      <c r="D4" s="35" t="s">
        <v>193</v>
      </c>
      <c r="E4" s="35" t="s">
        <v>194</v>
      </c>
      <c r="F4" s="25" t="s">
        <v>195</v>
      </c>
    </row>
    <row r="5" spans="1:6" x14ac:dyDescent="0.3">
      <c r="A5" s="34">
        <v>2</v>
      </c>
      <c r="B5" s="35" t="s">
        <v>191</v>
      </c>
      <c r="C5" s="35" t="s">
        <v>196</v>
      </c>
      <c r="D5" s="35" t="s">
        <v>197</v>
      </c>
      <c r="E5" s="35" t="s">
        <v>198</v>
      </c>
      <c r="F5" s="25" t="s">
        <v>195</v>
      </c>
    </row>
    <row r="6" spans="1:6" x14ac:dyDescent="0.3">
      <c r="A6" s="34">
        <v>3</v>
      </c>
      <c r="B6" s="35" t="s">
        <v>191</v>
      </c>
      <c r="C6" s="35" t="s">
        <v>199</v>
      </c>
      <c r="D6" s="35" t="s">
        <v>200</v>
      </c>
      <c r="E6" s="35" t="s">
        <v>201</v>
      </c>
      <c r="F6" s="25" t="s">
        <v>195</v>
      </c>
    </row>
    <row r="7" spans="1:6" x14ac:dyDescent="0.3">
      <c r="A7" s="34">
        <v>4</v>
      </c>
      <c r="B7" s="35" t="s">
        <v>191</v>
      </c>
      <c r="C7" s="35" t="s">
        <v>202</v>
      </c>
      <c r="D7" s="35" t="s">
        <v>203</v>
      </c>
      <c r="E7" s="35" t="s">
        <v>204</v>
      </c>
      <c r="F7" s="25" t="s">
        <v>195</v>
      </c>
    </row>
    <row r="8" spans="1:6" x14ac:dyDescent="0.3">
      <c r="A8" s="34">
        <v>5</v>
      </c>
      <c r="B8" s="35" t="s">
        <v>205</v>
      </c>
      <c r="C8" s="35" t="s">
        <v>206</v>
      </c>
      <c r="D8" s="35" t="s">
        <v>207</v>
      </c>
      <c r="E8" s="35" t="s">
        <v>208</v>
      </c>
      <c r="F8" s="25" t="s">
        <v>195</v>
      </c>
    </row>
    <row r="9" spans="1:6" x14ac:dyDescent="0.3">
      <c r="A9" s="34">
        <v>6</v>
      </c>
      <c r="B9" s="35" t="s">
        <v>209</v>
      </c>
      <c r="C9" s="35" t="s">
        <v>210</v>
      </c>
      <c r="D9" s="35" t="s">
        <v>211</v>
      </c>
      <c r="E9" s="35" t="s">
        <v>212</v>
      </c>
      <c r="F9" s="25" t="s">
        <v>195</v>
      </c>
    </row>
    <row r="10" spans="1:6" x14ac:dyDescent="0.3">
      <c r="A10" s="34">
        <v>7</v>
      </c>
      <c r="B10" s="35" t="s">
        <v>213</v>
      </c>
      <c r="C10" s="35" t="s">
        <v>214</v>
      </c>
      <c r="D10" s="35" t="s">
        <v>215</v>
      </c>
      <c r="E10" s="35" t="s">
        <v>216</v>
      </c>
      <c r="F10" s="25" t="s">
        <v>195</v>
      </c>
    </row>
  </sheetData>
  <mergeCells count="1">
    <mergeCell ref="A1:F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Informasi Proyek</vt:lpstr>
      <vt:lpstr>Hasil Pengujian</vt:lpstr>
      <vt:lpstr>Steganalisis</vt:lpstr>
      <vt:lpstr>Histogram dan Kapasitas</vt:lpstr>
      <vt:lpstr>Pengayaan Dokumen</vt:lpstr>
      <vt:lpstr>Unit Test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Pongo</dc:creator>
  <cp:lastModifiedBy>Pongo</cp:lastModifiedBy>
  <dcterms:created xsi:type="dcterms:W3CDTF">2026-09-29T11:55:12Z</dcterms:created>
  <dcterms:modified xsi:type="dcterms:W3CDTF">2026-09-29T13:21:25Z</dcterms:modified>
</cp:coreProperties>
</file>